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\\gv-ts6.generalvending.local\magazzino va\SPEDIZIONI GIORNALIERE GV\MT LOGISTIC\"/>
    </mc:Choice>
  </mc:AlternateContent>
  <xr:revisionPtr revIDLastSave="0" documentId="13_ncr:1_{FCD5B0E4-6592-41ED-9AEC-D209A886B779}" xr6:coauthVersionLast="47" xr6:coauthVersionMax="47" xr10:uidLastSave="{00000000-0000-0000-0000-000000000000}"/>
  <bookViews>
    <workbookView xWindow="-120" yWindow="-120" windowWidth="29040" windowHeight="15720" xr2:uid="{452C5CC0-3CFB-4B1B-A250-7317BCF3472B}"/>
  </bookViews>
  <sheets>
    <sheet name="RICHIESTA PRESA" sheetId="1" r:id="rId1"/>
    <sheet name="TABELLA" sheetId="2" r:id="rId2"/>
  </sheets>
  <externalReferences>
    <externalReference r:id="rId3"/>
  </externalReferences>
  <definedNames>
    <definedName name="_xlnm.Print_Area" localSheetId="0">'RICHIESTA PRESA'!$A$1:$S$39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" i="1" l="1"/>
  <c r="H19" i="1"/>
  <c r="G19" i="1"/>
  <c r="C19" i="1"/>
  <c r="J15" i="1"/>
  <c r="C15" i="1"/>
  <c r="I25" i="1" l="1"/>
  <c r="E28" i="1"/>
  <c r="I28" i="1"/>
  <c r="O2" i="1" l="1"/>
  <c r="I37" i="1"/>
  <c r="I34" i="1"/>
  <c r="I31" i="1"/>
  <c r="E37" i="1"/>
  <c r="E34" i="1"/>
  <c r="E31" i="1"/>
</calcChain>
</file>

<file path=xl/sharedStrings.xml><?xml version="1.0" encoding="utf-8"?>
<sst xmlns="http://schemas.openxmlformats.org/spreadsheetml/2006/main" count="104" uniqueCount="59">
  <si>
    <t>FOGLIO DI RICHIESTA PRESA</t>
  </si>
  <si>
    <t>MITTENTE</t>
  </si>
  <si>
    <t>VETTORE</t>
  </si>
  <si>
    <t>VIA IV NOVEMBRE, 102 - 21058 SOLBIATE OLONA (VA)</t>
  </si>
  <si>
    <t>VIA A. MANZONI, 74 - 21040 GERENZANO (VA)</t>
  </si>
  <si>
    <t>DESTINATARIO</t>
  </si>
  <si>
    <t>NOMINATIVO</t>
  </si>
  <si>
    <t>INDIRIZZO</t>
  </si>
  <si>
    <t>CONTATTI</t>
  </si>
  <si>
    <t>VOLUMI</t>
  </si>
  <si>
    <t>80*120</t>
  </si>
  <si>
    <t>100*120</t>
  </si>
  <si>
    <t>80*60</t>
  </si>
  <si>
    <t>120*120</t>
  </si>
  <si>
    <t>DATA</t>
  </si>
  <si>
    <t>SERVIZI</t>
  </si>
  <si>
    <t>1° PLT</t>
  </si>
  <si>
    <t>2° PLT</t>
  </si>
  <si>
    <t>DIMENS.</t>
  </si>
  <si>
    <t>PESO</t>
  </si>
  <si>
    <t>TARIFFA</t>
  </si>
  <si>
    <t>SERVIZIO</t>
  </si>
  <si>
    <t>SILVER</t>
  </si>
  <si>
    <t>GOLD</t>
  </si>
  <si>
    <t>3° PLT</t>
  </si>
  <si>
    <t>5° PLT</t>
  </si>
  <si>
    <t>7° PLT</t>
  </si>
  <si>
    <t>9° PLT</t>
  </si>
  <si>
    <t>10° PLT</t>
  </si>
  <si>
    <t>8° PLT</t>
  </si>
  <si>
    <t>6° PLT</t>
  </si>
  <si>
    <t>4° PLT</t>
  </si>
  <si>
    <t>CITTA'</t>
  </si>
  <si>
    <t>C.A.P.</t>
  </si>
  <si>
    <t>SPONDA</t>
  </si>
  <si>
    <t>SI</t>
  </si>
  <si>
    <t>NO</t>
  </si>
  <si>
    <t>FACCHINAGGIO</t>
  </si>
  <si>
    <t>RESO EPAL</t>
  </si>
  <si>
    <t>ASSICURAZIONE</t>
  </si>
  <si>
    <t>RIENTRO DDT
ORIGINALE</t>
  </si>
  <si>
    <t>ALTEZZA</t>
  </si>
  <si>
    <t>P1000</t>
  </si>
  <si>
    <t>P550</t>
  </si>
  <si>
    <t>ORARIO
CARICO</t>
  </si>
  <si>
    <t>MERCE
PRONTA</t>
  </si>
  <si>
    <t>MISURE
PALLETS</t>
  </si>
  <si>
    <t>RESO
EPAL</t>
  </si>
  <si>
    <t>RIENTRO
DDT ORIGINALE</t>
  </si>
  <si>
    <t>P150</t>
  </si>
  <si>
    <t>P300</t>
  </si>
  <si>
    <t>PS550</t>
  </si>
  <si>
    <t>NOTE</t>
  </si>
  <si>
    <t>PROV.</t>
  </si>
  <si>
    <t>95*92</t>
  </si>
  <si>
    <t>83*73</t>
  </si>
  <si>
    <t>68*72</t>
  </si>
  <si>
    <t>88*75</t>
  </si>
  <si>
    <t>70*80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</si>
</sst>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0"/>
    <numFmt numFmtId="165" formatCode="[h]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0" fillId="0" borderId="1" xfId="0" applyBorder="1"/>
    <xf numFmtId="0" fontId="2" fillId="2" borderId="2" xfId="0" applyFont="1" applyFill="1" applyBorder="1" applyAlignment="1">
      <alignment horizontal="center" vertical="center"/>
    </xf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2" fillId="2" borderId="17" xfId="0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2" borderId="1" xfId="0" applyFont="1" applyFill="1" applyBorder="1" applyAlignment="1">
      <alignment wrapText="1"/>
    </xf>
    <xf numFmtId="165" fontId="0" fillId="0" borderId="5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2" fillId="5" borderId="39" xfId="0" applyFont="1" applyFill="1" applyBorder="1" applyAlignment="1">
      <alignment horizontal="center"/>
    </xf>
    <xf numFmtId="0" fontId="0" fillId="5" borderId="13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43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48" xfId="0" applyBorder="1"/>
    <xf numFmtId="0" fontId="5" fillId="2" borderId="23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14" fontId="5" fillId="3" borderId="23" xfId="0" applyNumberFormat="1" applyFont="1" applyFill="1" applyBorder="1" applyAlignment="1">
      <alignment horizontal="center" vertical="center"/>
    </xf>
    <xf numFmtId="0" fontId="5" fillId="3" borderId="24" xfId="0" applyFont="1" applyFill="1" applyBorder="1" applyAlignment="1">
      <alignment horizontal="center" vertical="center"/>
    </xf>
    <xf numFmtId="0" fontId="5" fillId="3" borderId="25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22" xfId="0" applyFont="1" applyFill="1" applyBorder="1" applyAlignment="1">
      <alignment horizontal="center" vertical="center"/>
    </xf>
    <xf numFmtId="0" fontId="3" fillId="5" borderId="28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28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center" vertical="center" wrapText="1"/>
    </xf>
    <xf numFmtId="0" fontId="4" fillId="4" borderId="4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4" borderId="10" xfId="0" applyFont="1" applyFill="1" applyBorder="1" applyAlignment="1">
      <alignment horizontal="center" vertical="center" wrapText="1"/>
    </xf>
    <xf numFmtId="0" fontId="4" fillId="4" borderId="27" xfId="0" applyFont="1" applyFill="1" applyBorder="1" applyAlignment="1">
      <alignment horizontal="center" vertical="center" wrapText="1"/>
    </xf>
    <xf numFmtId="0" fontId="4" fillId="4" borderId="28" xfId="0" applyFont="1" applyFill="1" applyBorder="1" applyAlignment="1">
      <alignment horizontal="center" vertical="center" wrapText="1"/>
    </xf>
    <xf numFmtId="0" fontId="4" fillId="4" borderId="29" xfId="0" applyFont="1" applyFill="1" applyBorder="1" applyAlignment="1">
      <alignment horizontal="center" vertical="center" wrapText="1"/>
    </xf>
    <xf numFmtId="0" fontId="3" fillId="5" borderId="26" xfId="0" applyFont="1" applyFill="1" applyBorder="1" applyAlignment="1">
      <alignment horizontal="center" vertical="center"/>
    </xf>
    <xf numFmtId="0" fontId="3" fillId="5" borderId="4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27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 textRotation="90"/>
    </xf>
    <xf numFmtId="0" fontId="5" fillId="2" borderId="35" xfId="0" applyFont="1" applyFill="1" applyBorder="1" applyAlignment="1">
      <alignment horizontal="center" vertical="center" textRotation="90"/>
    </xf>
    <xf numFmtId="0" fontId="5" fillId="2" borderId="36" xfId="0" applyFont="1" applyFill="1" applyBorder="1" applyAlignment="1">
      <alignment horizontal="center" vertical="center" textRotation="90"/>
    </xf>
    <xf numFmtId="0" fontId="0" fillId="0" borderId="2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8" fillId="0" borderId="38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45" xfId="0" applyFont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2" fillId="2" borderId="4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30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wrapText="1"/>
    </xf>
    <xf numFmtId="0" fontId="2" fillId="5" borderId="22" xfId="0" applyFont="1" applyFill="1" applyBorder="1" applyAlignment="1">
      <alignment horizontal="center"/>
    </xf>
    <xf numFmtId="0" fontId="2" fillId="5" borderId="27" xfId="0" applyFont="1" applyFill="1" applyBorder="1" applyAlignment="1">
      <alignment horizontal="center"/>
    </xf>
    <xf numFmtId="0" fontId="2" fillId="5" borderId="29" xfId="0" applyFont="1" applyFill="1" applyBorder="1" applyAlignment="1">
      <alignment horizontal="center"/>
    </xf>
    <xf numFmtId="0" fontId="9" fillId="0" borderId="26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2" fillId="2" borderId="39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7" fillId="2" borderId="23" xfId="0" applyFont="1" applyFill="1" applyBorder="1" applyAlignment="1">
      <alignment horizontal="left" vertical="center"/>
    </xf>
    <xf numFmtId="0" fontId="7" fillId="2" borderId="24" xfId="0" applyFont="1" applyFill="1" applyBorder="1" applyAlignment="1">
      <alignment horizontal="left" vertical="center"/>
    </xf>
    <xf numFmtId="0" fontId="7" fillId="2" borderId="25" xfId="0" applyFont="1" applyFill="1" applyBorder="1" applyAlignment="1">
      <alignment horizontal="left" vertical="center"/>
    </xf>
    <xf numFmtId="0" fontId="5" fillId="2" borderId="31" xfId="0" applyFont="1" applyFill="1" applyBorder="1" applyAlignment="1">
      <alignment horizontal="center" textRotation="90"/>
    </xf>
    <xf numFmtId="0" fontId="5" fillId="2" borderId="32" xfId="0" applyFont="1" applyFill="1" applyBorder="1" applyAlignment="1">
      <alignment horizontal="center" textRotation="90"/>
    </xf>
    <xf numFmtId="0" fontId="5" fillId="2" borderId="33" xfId="0" applyFont="1" applyFill="1" applyBorder="1" applyAlignment="1">
      <alignment horizontal="center" textRotation="90"/>
    </xf>
    <xf numFmtId="0" fontId="5" fillId="2" borderId="31" xfId="0" applyFont="1" applyFill="1" applyBorder="1" applyAlignment="1">
      <alignment horizontal="center" vertical="center" textRotation="90"/>
    </xf>
    <xf numFmtId="0" fontId="5" fillId="2" borderId="32" xfId="0" applyFont="1" applyFill="1" applyBorder="1" applyAlignment="1">
      <alignment horizontal="center" vertical="center" textRotation="90"/>
    </xf>
    <xf numFmtId="0" fontId="5" fillId="2" borderId="33" xfId="0" applyFont="1" applyFill="1" applyBorder="1" applyAlignment="1">
      <alignment horizontal="center" vertical="center" textRotation="90"/>
    </xf>
    <xf numFmtId="0" fontId="5" fillId="2" borderId="5" xfId="0" applyFont="1" applyFill="1" applyBorder="1" applyAlignment="1">
      <alignment horizontal="center" vertical="center" textRotation="90"/>
    </xf>
    <xf numFmtId="0" fontId="5" fillId="2" borderId="8" xfId="0" applyFont="1" applyFill="1" applyBorder="1" applyAlignment="1">
      <alignment horizontal="center" vertical="center" textRotation="90"/>
    </xf>
    <xf numFmtId="0" fontId="5" fillId="2" borderId="13" xfId="0" applyFont="1" applyFill="1" applyBorder="1" applyAlignment="1">
      <alignment horizontal="center" vertical="center" textRotation="90"/>
    </xf>
    <xf numFmtId="0" fontId="2" fillId="2" borderId="2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38" xfId="0" applyFont="1" applyBorder="1" applyAlignment="1">
      <alignment horizontal="center" vertical="center" wrapText="1" shrinkToFit="1"/>
    </xf>
    <xf numFmtId="0" fontId="6" fillId="0" borderId="3" xfId="0" applyFont="1" applyBorder="1" applyAlignment="1">
      <alignment horizontal="center" vertical="center" wrapText="1" shrinkToFit="1"/>
    </xf>
    <xf numFmtId="0" fontId="6" fillId="0" borderId="40" xfId="0" applyFont="1" applyBorder="1" applyAlignment="1">
      <alignment horizontal="center" vertical="center" wrapText="1" shrinkToFit="1"/>
    </xf>
    <xf numFmtId="0" fontId="6" fillId="0" borderId="4" xfId="0" applyFont="1" applyBorder="1" applyAlignment="1">
      <alignment horizontal="center" vertical="center" wrapText="1" shrinkToFit="1"/>
    </xf>
    <xf numFmtId="164" fontId="6" fillId="0" borderId="3" xfId="0" applyNumberFormat="1" applyFont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2" fillId="2" borderId="37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264584</xdr:colOff>
      <xdr:row>3</xdr:row>
      <xdr:rowOff>165737</xdr:rowOff>
    </xdr:from>
    <xdr:to>
      <xdr:col>7</xdr:col>
      <xdr:colOff>272981</xdr:colOff>
      <xdr:row>9</xdr:row>
      <xdr:rowOff>34987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7F1E2D9-83D8-83D1-5C01-E284A7DBC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1917" y="1118237"/>
          <a:ext cx="3077564" cy="104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296335</xdr:colOff>
      <xdr:row>3</xdr:row>
      <xdr:rowOff>154145</xdr:rowOff>
    </xdr:from>
    <xdr:to>
      <xdr:col>17</xdr:col>
      <xdr:colOff>236845</xdr:colOff>
      <xdr:row>9</xdr:row>
      <xdr:rowOff>59395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FA22A214-BD94-11B7-8867-58A7FB11D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2085" y="1106645"/>
          <a:ext cx="3009677" cy="1080000"/>
        </a:xfrm>
        <a:prstGeom prst="rect">
          <a:avLst/>
        </a:prstGeom>
      </xdr:spPr>
    </xdr:pic>
    <xdr:clientData/>
  </xdr:twoCellAnchor>
  <xdr:twoCellAnchor>
    <xdr:from>
      <xdr:col>19</xdr:col>
      <xdr:colOff>232833</xdr:colOff>
      <xdr:row>1</xdr:row>
      <xdr:rowOff>52917</xdr:rowOff>
    </xdr:from>
    <xdr:to>
      <xdr:col>22</xdr:col>
      <xdr:colOff>381000</xdr:colOff>
      <xdr:row>3</xdr:row>
      <xdr:rowOff>63500</xdr:rowOff>
    </xdr:to>
    <xdr:sp macro="[0]!PRESAPDF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5F008623-677D-53BA-5817-A85AE63E2B45}"/>
            </a:ext>
          </a:extLst>
        </xdr:cNvPr>
        <xdr:cNvSpPr/>
      </xdr:nvSpPr>
      <xdr:spPr>
        <a:xfrm>
          <a:off x="9567333" y="254000"/>
          <a:ext cx="1989667" cy="762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/>
            <a:t>GENERA PRESA PDF</a:t>
          </a:r>
        </a:p>
      </xdr:txBody>
    </xdr:sp>
    <xdr:clientData/>
  </xdr:twoCellAnchor>
  <xdr:twoCellAnchor>
    <xdr:from>
      <xdr:col>19</xdr:col>
      <xdr:colOff>254000</xdr:colOff>
      <xdr:row>4</xdr:row>
      <xdr:rowOff>169333</xdr:rowOff>
    </xdr:from>
    <xdr:to>
      <xdr:col>22</xdr:col>
      <xdr:colOff>402167</xdr:colOff>
      <xdr:row>8</xdr:row>
      <xdr:rowOff>148166</xdr:rowOff>
    </xdr:to>
    <xdr:sp macro="[0]!Pulisci_Foglio" textlink="">
      <xdr:nvSpPr>
        <xdr:cNvPr id="8" name="Rettangolo con angoli arrotondati 7">
          <a:extLst>
            <a:ext uri="{FF2B5EF4-FFF2-40B4-BE49-F238E27FC236}">
              <a16:creationId xmlns:a16="http://schemas.microsoft.com/office/drawing/2014/main" id="{543B1CD9-5513-471A-8C25-76D84F03F1EE}"/>
            </a:ext>
          </a:extLst>
        </xdr:cNvPr>
        <xdr:cNvSpPr/>
      </xdr:nvSpPr>
      <xdr:spPr>
        <a:xfrm>
          <a:off x="10816167" y="1312333"/>
          <a:ext cx="1989667" cy="762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/>
            <a:t>PULISCI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gv-ts6.generalvending.local\magazzino%20va\SPEDIZIONI%20GIORNALIERE%20GV\ETICHETTA%20BANCALE.xlsm" TargetMode="External"/><Relationship Id="rId1" Type="http://schemas.openxmlformats.org/officeDocument/2006/relationships/externalLinkPath" Target="/SPEDIZIONI%20GIORNALIERE%20GV/ETICHETTA%20BANCA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TICHETTA"/>
      <sheetName val="ETICHETTA_BRT"/>
      <sheetName val="ETICHETTA_MT LOGISTIC"/>
      <sheetName val="ETICHETTA_PREALPINA TRASPORTI"/>
      <sheetName val="ETICHETTA manuale"/>
      <sheetName val="ANAGRAFICA CLIENTI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Codice</v>
          </cell>
          <cell r="C1"/>
          <cell r="D1" t="str">
            <v>Partita IVA  Codice Fiscale</v>
          </cell>
          <cell r="E1" t="str">
            <v>Indirizzo</v>
          </cell>
          <cell r="F1" t="str">
            <v>CAP</v>
          </cell>
          <cell r="G1" t="str">
            <v>Città</v>
          </cell>
          <cell r="H1" t="str">
            <v>Provincia</v>
          </cell>
          <cell r="I1" t="str">
            <v>Stato</v>
          </cell>
          <cell r="J1" t="str">
            <v>Telefono</v>
          </cell>
        </row>
        <row r="2">
          <cell r="B2">
            <v>7513</v>
          </cell>
          <cell r="C2" t="str">
            <v>"CHIACCHIERE" DI  MADONNA RIPA  MAURIZIO</v>
          </cell>
          <cell r="D2" t="str">
            <v>02656590037 MDNMRZ62C25B04 1Z</v>
          </cell>
          <cell r="E2" t="str">
            <v>VIA FLECCHIA, 12</v>
          </cell>
          <cell r="F2">
            <v>28021</v>
          </cell>
          <cell r="G2" t="str">
            <v>BORGOMANERO</v>
          </cell>
          <cell r="H2" t="str">
            <v>NO</v>
          </cell>
          <cell r="I2" t="str">
            <v>ITALIA</v>
          </cell>
          <cell r="J2" t="str">
            <v>340-8377824</v>
          </cell>
        </row>
        <row r="3">
          <cell r="B3">
            <v>4812</v>
          </cell>
          <cell r="C3" t="str">
            <v>"WOW" CAFFE'</v>
          </cell>
          <cell r="D3" t="str">
            <v>11484590010</v>
          </cell>
          <cell r="E3" t="str">
            <v>VIA REMO BRETTO, 4B</v>
          </cell>
          <cell r="F3">
            <v>10080</v>
          </cell>
          <cell r="G3" t="str">
            <v>FELETTO</v>
          </cell>
          <cell r="H3" t="str">
            <v>TO</v>
          </cell>
          <cell r="I3" t="str">
            <v>ITALIA</v>
          </cell>
          <cell r="J3"/>
        </row>
        <row r="4">
          <cell r="B4">
            <v>6627</v>
          </cell>
          <cell r="C4" t="str">
            <v>100 ARABICA DI  MORONI EMANUELA</v>
          </cell>
          <cell r="D4" t="str">
            <v>01769130095 MRNMNL91H68I138 K</v>
          </cell>
          <cell r="E4" t="str">
            <v>CORSO VITTORIO  VENETO 48/R</v>
          </cell>
          <cell r="F4">
            <v>17052</v>
          </cell>
          <cell r="G4" t="str">
            <v>BORGHETTO  SANTO SPIRITO</v>
          </cell>
          <cell r="H4" t="str">
            <v>SV</v>
          </cell>
          <cell r="I4" t="str">
            <v>ITALIA</v>
          </cell>
          <cell r="J4" t="str">
            <v>392-6378230</v>
          </cell>
        </row>
        <row r="5">
          <cell r="B5">
            <v>3157</v>
          </cell>
          <cell r="C5" t="str">
            <v>100 CAFFE' DI  FOSSATI GIUSEPPE</v>
          </cell>
          <cell r="D5" t="str">
            <v>03139070043 FSSGPP63E18H150 X</v>
          </cell>
          <cell r="E5" t="str">
            <v>VIA GIOVANNI PRIOTTI, 5</v>
          </cell>
          <cell r="F5">
            <v>12035</v>
          </cell>
          <cell r="G5" t="str">
            <v>RACCONIGI</v>
          </cell>
          <cell r="H5" t="str">
            <v>CN</v>
          </cell>
          <cell r="I5" t="str">
            <v>ITALIA</v>
          </cell>
          <cell r="J5" t="str">
            <v>335-6058082</v>
          </cell>
        </row>
        <row r="6">
          <cell r="B6">
            <v>4050</v>
          </cell>
          <cell r="C6" t="str">
            <v>2 D DI DE SIMONI &amp;  DE SIMONI</v>
          </cell>
          <cell r="D6" t="str">
            <v>00958360539</v>
          </cell>
          <cell r="E6" t="str">
            <v>VIA 8 MARZO, 12</v>
          </cell>
          <cell r="F6">
            <v>58015</v>
          </cell>
          <cell r="G6" t="str">
            <v>ORBETELLO</v>
          </cell>
          <cell r="H6" t="str">
            <v>GR</v>
          </cell>
          <cell r="I6" t="str">
            <v>ITALIA</v>
          </cell>
        </row>
        <row r="7">
          <cell r="B7">
            <v>7344</v>
          </cell>
          <cell r="C7" t="str">
            <v>2.0 DI ZUCCO  ANDREA &amp; C. S.A.S.</v>
          </cell>
          <cell r="D7" t="str">
            <v>09603920969</v>
          </cell>
          <cell r="E7" t="str">
            <v>VIA NAZIONALE DEI  GIOVI, 29</v>
          </cell>
          <cell r="F7">
            <v>20811</v>
          </cell>
          <cell r="G7" t="str">
            <v>CESANO  MADERNO</v>
          </cell>
          <cell r="H7" t="str">
            <v>MB</v>
          </cell>
          <cell r="I7" t="str">
            <v>ITALIA</v>
          </cell>
          <cell r="J7" t="str">
            <v>338-1878913</v>
          </cell>
        </row>
        <row r="8">
          <cell r="B8">
            <v>3785</v>
          </cell>
          <cell r="C8" t="str">
            <v>24 H DI  PUNTELLO DI  TORTOSA  LOREDANA &amp; C. SAS</v>
          </cell>
          <cell r="D8" t="str">
            <v>06787160966 TRTLDN78M59F205 M</v>
          </cell>
          <cell r="E8" t="str">
            <v>VIA ANTONIO ALDINI, 28</v>
          </cell>
          <cell r="F8">
            <v>20157</v>
          </cell>
          <cell r="G8" t="str">
            <v>MILANO</v>
          </cell>
          <cell r="H8" t="str">
            <v>MI</v>
          </cell>
          <cell r="I8" t="str">
            <v>ITALIA</v>
          </cell>
          <cell r="J8" t="str">
            <v>02-3557476</v>
          </cell>
        </row>
        <row r="9">
          <cell r="B9">
            <v>7805</v>
          </cell>
          <cell r="C9" t="str">
            <v>2B DISTRIBUTION DI BORTOLOT LETIZIA MARIA</v>
          </cell>
          <cell r="E9" t="str">
            <v>VIA SALVATORE QUASIMODO,260</v>
          </cell>
          <cell r="F9">
            <v>21042</v>
          </cell>
          <cell r="G9" t="str">
            <v>CARONNO PERTUSELLA</v>
          </cell>
          <cell r="H9" t="str">
            <v>VA</v>
          </cell>
          <cell r="I9" t="str">
            <v>ITALIA</v>
          </cell>
          <cell r="J9" t="str">
            <v>328-8822378</v>
          </cell>
        </row>
        <row r="10">
          <cell r="B10">
            <v>7443</v>
          </cell>
          <cell r="C10" t="str">
            <v>2MD SISTEMI DI  GIATTI MASSIMO E  C. S.N.C.</v>
          </cell>
          <cell r="D10" t="str">
            <v>01539290385</v>
          </cell>
          <cell r="E10" t="str">
            <v>VIA MARIA MAJOCCHI  PLATTIS 44</v>
          </cell>
          <cell r="F10">
            <v>44124</v>
          </cell>
          <cell r="G10" t="str">
            <v>FERRARA</v>
          </cell>
          <cell r="H10" t="str">
            <v>FE</v>
          </cell>
          <cell r="I10" t="str">
            <v>ITALIA</v>
          </cell>
          <cell r="J10">
            <v>532746047</v>
          </cell>
        </row>
        <row r="11">
          <cell r="B11">
            <v>3710</v>
          </cell>
          <cell r="C11" t="str">
            <v>3 EMME S.A.S.  DI MANCINI MARIA &amp; C.</v>
          </cell>
          <cell r="D11" t="str">
            <v>06820110960 06820110960</v>
          </cell>
          <cell r="E11" t="str">
            <v>VIA RUGGERO DE LAURIA  12 B</v>
          </cell>
          <cell r="F11">
            <v>20149</v>
          </cell>
          <cell r="G11" t="str">
            <v>MILANO</v>
          </cell>
          <cell r="H11" t="str">
            <v>MI</v>
          </cell>
          <cell r="I11" t="str">
            <v>ITALIA</v>
          </cell>
          <cell r="J11" t="str">
            <v xml:space="preserve">393-1643112 </v>
          </cell>
        </row>
        <row r="12">
          <cell r="B12">
            <v>4590</v>
          </cell>
          <cell r="C12" t="str">
            <v>3 JOLIE DI RASO  RITA</v>
          </cell>
          <cell r="D12" t="str">
            <v>02145470031 02145470031</v>
          </cell>
          <cell r="E12" t="str">
            <v>STRADA DEL LUCCHETTO,  2/A</v>
          </cell>
          <cell r="F12">
            <v>12045</v>
          </cell>
          <cell r="G12" t="str">
            <v>FOSSANO</v>
          </cell>
          <cell r="H12" t="str">
            <v>TO</v>
          </cell>
          <cell r="I12" t="str">
            <v>ITALIA</v>
          </cell>
          <cell r="J12" t="str">
            <v xml:space="preserve">331-1443752 </v>
          </cell>
        </row>
        <row r="13">
          <cell r="B13">
            <v>2193</v>
          </cell>
          <cell r="C13" t="str">
            <v>3C S.A.S. DI RALLO  FABIO &amp; C.</v>
          </cell>
          <cell r="D13" t="str">
            <v>03496600101 03496600101</v>
          </cell>
          <cell r="E13" t="str">
            <v>PIAZZA GIACOMO DELLA CHIESA, 1</v>
          </cell>
          <cell r="F13">
            <v>16156</v>
          </cell>
          <cell r="G13" t="str">
            <v>GENOVA PEGLI</v>
          </cell>
          <cell r="H13" t="str">
            <v>GE</v>
          </cell>
          <cell r="I13" t="str">
            <v>ITALIA</v>
          </cell>
          <cell r="J13" t="str">
            <v>010-6969152</v>
          </cell>
        </row>
        <row r="14">
          <cell r="B14">
            <v>6419</v>
          </cell>
          <cell r="C14" t="str">
            <v>3F S.C.</v>
          </cell>
          <cell r="D14" t="str">
            <v>11032840016 11032840016</v>
          </cell>
          <cell r="E14" t="str">
            <v>CORSO FRANCIA, 15</v>
          </cell>
          <cell r="F14">
            <v>10100</v>
          </cell>
          <cell r="G14" t="str">
            <v>TORINO</v>
          </cell>
          <cell r="H14" t="str">
            <v>TO</v>
          </cell>
          <cell r="I14" t="str">
            <v>ITALIA</v>
          </cell>
          <cell r="J14" t="str">
            <v>335-5346337</v>
          </cell>
        </row>
        <row r="15">
          <cell r="B15">
            <v>10005</v>
          </cell>
          <cell r="C15" t="str">
            <v>4MATIC DI FAVINO MANUEL</v>
          </cell>
          <cell r="E15" t="str">
            <v>VIA P. PASTORINO, 73</v>
          </cell>
          <cell r="F15">
            <v>16162</v>
          </cell>
          <cell r="G15" t="str">
            <v>GENOVA BOLZANETO</v>
          </cell>
          <cell r="H15" t="str">
            <v>GE</v>
          </cell>
          <cell r="I15" t="str">
            <v>ITALIA</v>
          </cell>
          <cell r="J15" t="str">
            <v>347-8850686</v>
          </cell>
        </row>
        <row r="16">
          <cell r="B16">
            <v>6743</v>
          </cell>
          <cell r="C16" t="str">
            <v>7000 CAFFE' DI  LIRIA GIUSEPPA</v>
          </cell>
          <cell r="D16" t="str">
            <v>03670590128 LRIGPP55L71H224M</v>
          </cell>
          <cell r="E16" t="str">
            <v>VIA FRANCESCO FERRER,  1</v>
          </cell>
          <cell r="F16">
            <v>21052</v>
          </cell>
          <cell r="G16" t="str">
            <v>BUSTO ARSIZIO</v>
          </cell>
          <cell r="H16" t="str">
            <v>VA</v>
          </cell>
          <cell r="I16" t="str">
            <v>ITALIA</v>
          </cell>
          <cell r="J16" t="str">
            <v>349-9594266</v>
          </cell>
        </row>
        <row r="17">
          <cell r="B17">
            <v>4529</v>
          </cell>
          <cell r="C17" t="str">
            <v>A @ G S.R.L.</v>
          </cell>
          <cell r="D17" t="str">
            <v>07268740961 07268740961</v>
          </cell>
          <cell r="E17" t="str">
            <v>VIA CARDUCCI, 41/C</v>
          </cell>
          <cell r="F17">
            <v>20098</v>
          </cell>
          <cell r="G17" t="str">
            <v>SAN GIULIANO  MILANESE</v>
          </cell>
          <cell r="H17" t="str">
            <v>MI</v>
          </cell>
          <cell r="I17" t="str">
            <v>ITALIA</v>
          </cell>
          <cell r="J17" t="str">
            <v>340-3498984</v>
          </cell>
        </row>
        <row r="18">
          <cell r="B18">
            <v>4353</v>
          </cell>
          <cell r="C18" t="str">
            <v>A B C  DISTRIBUZIONE DI  BOTTO MARIO</v>
          </cell>
          <cell r="D18" t="str">
            <v>01484350085 BTTMRA63S24I138 U</v>
          </cell>
          <cell r="E18" t="str">
            <v>VIA VALDOLIDI, 15</v>
          </cell>
          <cell r="F18">
            <v>18038</v>
          </cell>
          <cell r="G18" t="str">
            <v>SANREMO</v>
          </cell>
          <cell r="H18" t="str">
            <v>IM</v>
          </cell>
          <cell r="I18" t="str">
            <v>ITALIA</v>
          </cell>
          <cell r="J18" t="str">
            <v>327-7409696</v>
          </cell>
        </row>
        <row r="19">
          <cell r="B19">
            <v>6432</v>
          </cell>
          <cell r="C19" t="str">
            <v>A UNO SICUREZZA  DI COLLI MAURO</v>
          </cell>
          <cell r="D19" t="str">
            <v>03746080104 CLLMRA59C19G197 R</v>
          </cell>
          <cell r="E19" t="str">
            <v>VIA MILANO, 61</v>
          </cell>
          <cell r="F19">
            <v>16126</v>
          </cell>
          <cell r="G19" t="str">
            <v>GENOVA</v>
          </cell>
          <cell r="H19" t="str">
            <v>GE</v>
          </cell>
          <cell r="I19" t="str">
            <v>ITALIA</v>
          </cell>
          <cell r="J19" t="str">
            <v xml:space="preserve">348-9794148 </v>
          </cell>
        </row>
        <row r="20">
          <cell r="B20">
            <v>3506</v>
          </cell>
          <cell r="C20" t="str">
            <v>A. &amp; V. DI  MAZZOLENI  ALBERTO</v>
          </cell>
          <cell r="D20" t="str">
            <v>06279410960 MZZLRT84T18D286 K</v>
          </cell>
          <cell r="E20" t="str">
            <v>VIA COMASINA, 2</v>
          </cell>
          <cell r="F20">
            <v>20030</v>
          </cell>
          <cell r="G20" t="str">
            <v>SENAGO</v>
          </cell>
          <cell r="H20" t="str">
            <v>MI</v>
          </cell>
          <cell r="I20" t="str">
            <v>ITALIA</v>
          </cell>
          <cell r="J20" t="str">
            <v>348-5161250</v>
          </cell>
        </row>
        <row r="21">
          <cell r="B21">
            <v>3874</v>
          </cell>
          <cell r="C21" t="str">
            <v>A. LOACKER S.P.A.</v>
          </cell>
          <cell r="D21" t="str">
            <v>00187320213 00187320213</v>
          </cell>
          <cell r="E21" t="str">
            <v>VIA GASTERER, 3</v>
          </cell>
          <cell r="F21">
            <v>39050</v>
          </cell>
          <cell r="G21" t="str">
            <v>RENON AUNA DI  SOTTO</v>
          </cell>
          <cell r="H21" t="str">
            <v>BZ</v>
          </cell>
          <cell r="I21" t="str">
            <v>ITALIA</v>
          </cell>
          <cell r="J21" t="str">
            <v>0471-296111</v>
          </cell>
        </row>
        <row r="22">
          <cell r="B22">
            <v>4338</v>
          </cell>
          <cell r="C22" t="str">
            <v>A.B.M. DEAL DI ALESSANDRO BOGGIO MERLO</v>
          </cell>
          <cell r="D22" t="str">
            <v>10599470019 10599470019</v>
          </cell>
          <cell r="E22" t="str">
            <v>VIA PAOLO SACCHI, 54</v>
          </cell>
          <cell r="F22">
            <v>10128</v>
          </cell>
          <cell r="G22" t="str">
            <v>TORINO</v>
          </cell>
          <cell r="H22" t="str">
            <v>TO</v>
          </cell>
          <cell r="I22" t="str">
            <v>ITALIA</v>
          </cell>
          <cell r="J22" t="str">
            <v>347-3128505</v>
          </cell>
        </row>
        <row r="23">
          <cell r="B23">
            <v>7492</v>
          </cell>
          <cell r="C23" t="str">
            <v>A.C.F. DI AVOLIO  CARMINE</v>
          </cell>
          <cell r="D23" t="str">
            <v>01582550198 VLACMN69E07L049 M</v>
          </cell>
          <cell r="E23" t="str">
            <v>VIA TRILUSSA, 15</v>
          </cell>
          <cell r="F23">
            <v>20157</v>
          </cell>
          <cell r="G23" t="str">
            <v>MILANO</v>
          </cell>
          <cell r="H23" t="str">
            <v>MI</v>
          </cell>
          <cell r="I23" t="str">
            <v>ITALIA</v>
          </cell>
          <cell r="J23" t="str">
            <v>389-0964270</v>
          </cell>
        </row>
        <row r="24">
          <cell r="B24">
            <v>4396</v>
          </cell>
          <cell r="C24" t="str">
            <v>A.C.Y. LLC</v>
          </cell>
          <cell r="D24" t="str">
            <v>02752810602 02752810602</v>
          </cell>
          <cell r="E24" t="str">
            <v>CORSO DELLA  REPUBBLICA, 211</v>
          </cell>
          <cell r="F24">
            <v>3100</v>
          </cell>
          <cell r="G24" t="str">
            <v>FROSINONE</v>
          </cell>
          <cell r="H24" t="str">
            <v>FR</v>
          </cell>
          <cell r="I24" t="str">
            <v>ITALIA</v>
          </cell>
          <cell r="J24" t="str">
            <v>328-6162223</v>
          </cell>
        </row>
        <row r="25">
          <cell r="B25">
            <v>3044</v>
          </cell>
          <cell r="C25" t="str">
            <v>A.D.P. S.A.S. DI  NUZZO GIUSEPPE &amp;  C.</v>
          </cell>
          <cell r="D25" t="str">
            <v>05928320968 05928320968</v>
          </cell>
          <cell r="E25" t="str">
            <v>VIA ROMA, 2</v>
          </cell>
          <cell r="F25">
            <v>20043</v>
          </cell>
          <cell r="G25" t="str">
            <v>ARCORE</v>
          </cell>
          <cell r="H25" t="str">
            <v>MI</v>
          </cell>
          <cell r="I25" t="str">
            <v>ITALIA</v>
          </cell>
          <cell r="J25" t="str">
            <v>392-5110213</v>
          </cell>
        </row>
        <row r="26">
          <cell r="B26">
            <v>5815</v>
          </cell>
          <cell r="C26" t="str">
            <v>A.D.S. S.R.L.   AUTOMATIC DRINKS  SERVICE</v>
          </cell>
          <cell r="D26" t="str">
            <v>00614010106 00614010106</v>
          </cell>
          <cell r="E26" t="str">
            <v>VIA PASSO PONTE  CARREGA 62 P/ROSSO</v>
          </cell>
          <cell r="F26">
            <v>16141</v>
          </cell>
          <cell r="G26" t="str">
            <v>GENOVA</v>
          </cell>
          <cell r="H26" t="str">
            <v>GE</v>
          </cell>
          <cell r="I26" t="str">
            <v>ITALIA</v>
          </cell>
          <cell r="J26" t="str">
            <v xml:space="preserve">010-8358952 </v>
          </cell>
        </row>
        <row r="27">
          <cell r="B27">
            <v>7182</v>
          </cell>
          <cell r="C27" t="str">
            <v>A.G.E.F. S.R.L.</v>
          </cell>
          <cell r="D27" t="str">
            <v>02752860151</v>
          </cell>
          <cell r="E27" t="str">
            <v>VIA FONTANA, 24/D</v>
          </cell>
          <cell r="F27">
            <v>20085</v>
          </cell>
          <cell r="G27" t="str">
            <v>LOCATE DI  TRIULZI</v>
          </cell>
          <cell r="H27" t="str">
            <v>MI</v>
          </cell>
          <cell r="I27" t="str">
            <v>ITALIA</v>
          </cell>
          <cell r="J27">
            <v>29079269</v>
          </cell>
        </row>
        <row r="28">
          <cell r="B28">
            <v>1279</v>
          </cell>
          <cell r="C28" t="str">
            <v>A.L.P.I.  S.R.L.</v>
          </cell>
          <cell r="D28" t="str">
            <v>03215740105 03215740105</v>
          </cell>
          <cell r="E28" t="str">
            <v>VIA A. CATALANI, 5/18B</v>
          </cell>
          <cell r="F28">
            <v>16100</v>
          </cell>
          <cell r="G28" t="str">
            <v>GENOVA</v>
          </cell>
          <cell r="H28" t="str">
            <v>GE</v>
          </cell>
          <cell r="I28" t="str">
            <v>ITALIA</v>
          </cell>
          <cell r="J28" t="str">
            <v>0143-643910</v>
          </cell>
        </row>
        <row r="29">
          <cell r="B29">
            <v>7187</v>
          </cell>
          <cell r="C29" t="str">
            <v>A.M.S. CONSULTING S.R.L.</v>
          </cell>
          <cell r="D29" t="str">
            <v>08091550726 08091550726</v>
          </cell>
          <cell r="E29" t="str">
            <v>VIA AMENDOLA, 172/C</v>
          </cell>
          <cell r="F29">
            <v>70126</v>
          </cell>
          <cell r="G29" t="str">
            <v>BARI</v>
          </cell>
          <cell r="H29" t="str">
            <v>BA</v>
          </cell>
          <cell r="I29" t="str">
            <v>ITALIA</v>
          </cell>
          <cell r="J29" t="str">
            <v>080-2024138</v>
          </cell>
        </row>
        <row r="30">
          <cell r="B30">
            <v>1916</v>
          </cell>
          <cell r="C30" t="str">
            <v>A.R. DI  ANDREOSE</v>
          </cell>
          <cell r="D30" t="str">
            <v>03119490963 NDRMPT78L43H264 C</v>
          </cell>
          <cell r="E30" t="str">
            <v>VIA PAGANINI, 10</v>
          </cell>
          <cell r="F30">
            <v>20014</v>
          </cell>
          <cell r="G30" t="str">
            <v>NERVIANO</v>
          </cell>
          <cell r="H30" t="str">
            <v>MI</v>
          </cell>
          <cell r="I30" t="str">
            <v>ITALIA</v>
          </cell>
          <cell r="J30" t="str">
            <v>02-9312911</v>
          </cell>
        </row>
        <row r="31">
          <cell r="B31">
            <v>3582</v>
          </cell>
          <cell r="C31" t="str">
            <v>A.R. S.N.C. DI  CAPOGRECO  ADOLFO</v>
          </cell>
          <cell r="D31" t="str">
            <v>10155580011 10155580011</v>
          </cell>
          <cell r="E31" t="str">
            <v>VIA DELLA ROCCA, 22</v>
          </cell>
          <cell r="F31">
            <v>10123</v>
          </cell>
          <cell r="G31" t="str">
            <v>TORINO</v>
          </cell>
          <cell r="H31" t="str">
            <v>TO</v>
          </cell>
          <cell r="I31" t="str">
            <v>ITALIA</v>
          </cell>
          <cell r="J31" t="str">
            <v>335-6228271</v>
          </cell>
        </row>
        <row r="32">
          <cell r="B32">
            <v>4800</v>
          </cell>
          <cell r="C32" t="str">
            <v>A.R.P.E. DI BONVINI  DOMENICO</v>
          </cell>
          <cell r="D32" t="str">
            <v>10214300153 10214300153</v>
          </cell>
          <cell r="E32" t="str">
            <v>VIA GIOVANNI XXIII, 15</v>
          </cell>
          <cell r="F32">
            <v>20098</v>
          </cell>
          <cell r="G32" t="str">
            <v>SAN GIULIANO  MILANESE</v>
          </cell>
          <cell r="H32" t="str">
            <v>MI</v>
          </cell>
          <cell r="I32" t="str">
            <v>ITALIA</v>
          </cell>
          <cell r="J32" t="str">
            <v>02-98490743</v>
          </cell>
        </row>
        <row r="33">
          <cell r="B33">
            <v>10</v>
          </cell>
          <cell r="C33" t="str">
            <v>A.S. CARLO  SAPORITI S.R.L.</v>
          </cell>
          <cell r="D33" t="str">
            <v>00210510129 00210510129</v>
          </cell>
          <cell r="E33" t="str">
            <v>VIA NINO LOCARNO, 123</v>
          </cell>
          <cell r="F33">
            <v>21017</v>
          </cell>
          <cell r="G33" t="str">
            <v>VERGHERA</v>
          </cell>
          <cell r="H33" t="str">
            <v>VA</v>
          </cell>
          <cell r="I33" t="str">
            <v>ITALIA</v>
          </cell>
          <cell r="J33" t="str">
            <v>0331-228464</v>
          </cell>
        </row>
        <row r="34">
          <cell r="B34">
            <v>6520</v>
          </cell>
          <cell r="C34" t="str">
            <v>A.S.D. OLGIATESE</v>
          </cell>
          <cell r="D34" t="str">
            <v>03486340122</v>
          </cell>
          <cell r="E34" t="str">
            <v>VIA A.DIAZ, 88</v>
          </cell>
          <cell r="F34">
            <v>21057</v>
          </cell>
          <cell r="G34" t="str">
            <v>OLGIATE OLONA</v>
          </cell>
          <cell r="H34" t="str">
            <v>VA</v>
          </cell>
          <cell r="I34" t="str">
            <v>ITALIA</v>
          </cell>
          <cell r="J34" t="str">
            <v>0331-1850371</v>
          </cell>
        </row>
        <row r="35">
          <cell r="B35">
            <v>3447</v>
          </cell>
          <cell r="C35" t="str">
            <v>A.T.L. ASSISTENZA TECNICA LIGURE</v>
          </cell>
          <cell r="D35" t="str">
            <v>01851040996 MSCLSN73R17E488 H</v>
          </cell>
          <cell r="E35" t="str">
            <v>VIA SANPIERDICANNE, 43</v>
          </cell>
          <cell r="F35">
            <v>16043</v>
          </cell>
          <cell r="G35" t="str">
            <v>CHIAVARI</v>
          </cell>
          <cell r="H35" t="str">
            <v>GE</v>
          </cell>
          <cell r="I35" t="str">
            <v>ITALIA</v>
          </cell>
          <cell r="J35" t="str">
            <v>346-6350562</v>
          </cell>
        </row>
        <row r="36">
          <cell r="B36">
            <v>7290</v>
          </cell>
          <cell r="C36" t="str">
            <v>ABA S.A.S.  ARTICOLI DOLCIARI</v>
          </cell>
          <cell r="D36" t="str">
            <v>09111550019</v>
          </cell>
          <cell r="E36" t="str">
            <v>V.LE PAPA GIOVANNI  XXIII, 27/A</v>
          </cell>
          <cell r="F36">
            <v>10092</v>
          </cell>
          <cell r="G36" t="str">
            <v>BORGARETTO  FRAZ. BEINASCO</v>
          </cell>
          <cell r="H36" t="str">
            <v>TO</v>
          </cell>
          <cell r="I36" t="str">
            <v>ITALIA</v>
          </cell>
          <cell r="J36" t="str">
            <v>339-7230400</v>
          </cell>
        </row>
        <row r="37">
          <cell r="B37">
            <v>7527</v>
          </cell>
          <cell r="C37" t="str">
            <v>ABATEGIOVANNI  DOMENICO</v>
          </cell>
          <cell r="D37" t="str">
            <v>BTGDNC83S10F839 N</v>
          </cell>
          <cell r="E37" t="str">
            <v>VIA METAURO, 32</v>
          </cell>
          <cell r="F37">
            <v>59100</v>
          </cell>
          <cell r="G37" t="str">
            <v>PRATO</v>
          </cell>
          <cell r="H37" t="str">
            <v>PO</v>
          </cell>
          <cell r="I37" t="str">
            <v>ITALIA</v>
          </cell>
          <cell r="J37" t="str">
            <v>392-8000706</v>
          </cell>
        </row>
        <row r="38">
          <cell r="B38">
            <v>4211</v>
          </cell>
          <cell r="C38" t="str">
            <v>ABC  DISTRIBUZIONE S.A. S.</v>
          </cell>
          <cell r="D38" t="str">
            <v>02496740164 02496740164</v>
          </cell>
          <cell r="E38" t="str">
            <v>VIA PROVINCIALE 121, 27</v>
          </cell>
          <cell r="F38">
            <v>24050</v>
          </cell>
          <cell r="G38" t="str">
            <v>LURANO</v>
          </cell>
          <cell r="H38" t="str">
            <v>BG</v>
          </cell>
          <cell r="I38" t="str">
            <v>ITALIA</v>
          </cell>
          <cell r="J38" t="str">
            <v>335-1022225</v>
          </cell>
        </row>
        <row r="39">
          <cell r="B39">
            <v>7440</v>
          </cell>
          <cell r="C39" t="str">
            <v>ACCOGLI SANDRA</v>
          </cell>
          <cell r="D39" t="str">
            <v>CCGSDR82L54I119 D</v>
          </cell>
          <cell r="E39" t="str">
            <v>VIA DIVISIONE ALPINA  TAURINENSE 53</v>
          </cell>
          <cell r="F39">
            <v>31059</v>
          </cell>
          <cell r="G39" t="str">
            <v>ZERO BRANCO</v>
          </cell>
          <cell r="H39" t="str">
            <v>TV</v>
          </cell>
          <cell r="I39" t="str">
            <v>ITALIA</v>
          </cell>
          <cell r="J39" t="str">
            <v>320-7533977</v>
          </cell>
        </row>
        <row r="40">
          <cell r="B40">
            <v>6629</v>
          </cell>
          <cell r="C40" t="str">
            <v>ACCONCIATURE C. ELLE DI BANFI ALICE</v>
          </cell>
          <cell r="D40" t="str">
            <v>10033080960</v>
          </cell>
          <cell r="E40" t="str">
            <v>VIA DANTE ALIGHIERI, 31</v>
          </cell>
          <cell r="F40">
            <v>20027</v>
          </cell>
          <cell r="G40" t="str">
            <v>RESCALDINA</v>
          </cell>
          <cell r="H40" t="str">
            <v>MI</v>
          </cell>
          <cell r="I40" t="str">
            <v>ITALIA</v>
          </cell>
          <cell r="J40" t="str">
            <v>0331-465220</v>
          </cell>
        </row>
        <row r="41">
          <cell r="B41">
            <v>3296</v>
          </cell>
          <cell r="C41" t="str">
            <v>ACCONCIATURE C.ELLE S.N.C.</v>
          </cell>
          <cell r="D41" t="str">
            <v>05927820968 05927820968</v>
          </cell>
          <cell r="E41" t="str">
            <v>VIA DANTE ALIGHIERI, 31</v>
          </cell>
          <cell r="F41">
            <v>20027</v>
          </cell>
          <cell r="G41" t="str">
            <v>RESCALDINA</v>
          </cell>
          <cell r="H41" t="str">
            <v>MI</v>
          </cell>
          <cell r="I41" t="str">
            <v>ITALIA</v>
          </cell>
          <cell r="J41" t="str">
            <v>0331-465220</v>
          </cell>
        </row>
        <row r="42">
          <cell r="B42">
            <v>6550</v>
          </cell>
          <cell r="C42" t="str">
            <v>ACCURSI ANDREA</v>
          </cell>
          <cell r="D42" t="str">
            <v>03285510123 CCRNDR77P19L682 K</v>
          </cell>
          <cell r="E42" t="str">
            <v>VIA MANZONI, 3</v>
          </cell>
          <cell r="F42">
            <v>21048</v>
          </cell>
          <cell r="G42" t="str">
            <v>SOLBIATE ARNO</v>
          </cell>
          <cell r="H42" t="str">
            <v>VA</v>
          </cell>
          <cell r="I42" t="str">
            <v>ITALIA</v>
          </cell>
          <cell r="J42" t="str">
            <v>392-6170282</v>
          </cell>
        </row>
        <row r="43">
          <cell r="B43">
            <v>4304</v>
          </cell>
          <cell r="C43" t="str">
            <v>ACQUA &amp; CAFFE' DI SPIGA ALBERTO</v>
          </cell>
          <cell r="D43" t="str">
            <v>03439410139 SPGLRT71M03E951 X</v>
          </cell>
          <cell r="E43" t="str">
            <v>ROGGIA VECCHIA, 9</v>
          </cell>
          <cell r="F43">
            <v>22060</v>
          </cell>
          <cell r="G43" t="str">
            <v>CARUGO</v>
          </cell>
          <cell r="H43" t="str">
            <v>CO</v>
          </cell>
          <cell r="I43" t="str">
            <v>ITALIA</v>
          </cell>
          <cell r="J43" t="str">
            <v>388-3696591</v>
          </cell>
        </row>
        <row r="44">
          <cell r="B44">
            <v>5422</v>
          </cell>
          <cell r="C44" t="str">
            <v>ACQUA AZZURRA DI  GALLELLI CATERINA</v>
          </cell>
          <cell r="D44" t="str">
            <v>08417060012 GLLCRN66R57G728 S</v>
          </cell>
          <cell r="E44" t="str">
            <v>VIA CAVOUR, 6</v>
          </cell>
          <cell r="F44">
            <v>10030</v>
          </cell>
          <cell r="G44" t="str">
            <v>VISCHE</v>
          </cell>
          <cell r="H44" t="str">
            <v>TO</v>
          </cell>
          <cell r="I44" t="str">
            <v>ITALIA</v>
          </cell>
          <cell r="J44" t="str">
            <v xml:space="preserve">011-9895433 </v>
          </cell>
        </row>
        <row r="45">
          <cell r="B45">
            <v>4641</v>
          </cell>
          <cell r="C45" t="str">
            <v>ACQUAMATIC S.R.L.</v>
          </cell>
          <cell r="D45" t="str">
            <v>02510730423 02510730423</v>
          </cell>
          <cell r="E45" t="str">
            <v>VIA BRESCIA III, 57</v>
          </cell>
          <cell r="F45">
            <v>60030</v>
          </cell>
          <cell r="G45" t="str">
            <v>MONSANO</v>
          </cell>
          <cell r="H45" t="str">
            <v>AN</v>
          </cell>
          <cell r="I45" t="str">
            <v>ITALIA</v>
          </cell>
          <cell r="J45" t="str">
            <v xml:space="preserve">0731-026020 </v>
          </cell>
        </row>
        <row r="46">
          <cell r="B46">
            <v>6726</v>
          </cell>
          <cell r="C46" t="str">
            <v>ACQUASANA DI  ORUSA ENRICO</v>
          </cell>
          <cell r="D46" t="str">
            <v>02083170049 RSONRC62M22D20 5T</v>
          </cell>
          <cell r="E46" t="str">
            <v>CORSO ROMITA, 124</v>
          </cell>
          <cell r="F46">
            <v>10022</v>
          </cell>
          <cell r="G46" t="str">
            <v>BUSCA</v>
          </cell>
          <cell r="H46" t="str">
            <v>CN</v>
          </cell>
          <cell r="I46" t="str">
            <v>ITALIA</v>
          </cell>
          <cell r="J46" t="str">
            <v>0171-944684</v>
          </cell>
        </row>
        <row r="47">
          <cell r="B47">
            <v>4504</v>
          </cell>
          <cell r="C47" t="str">
            <v>ACQUISSIMA SAGL</v>
          </cell>
          <cell r="D47" t="str">
            <v>114897461</v>
          </cell>
          <cell r="E47" t="str">
            <v>VIA EMILIO BOSSI, 26</v>
          </cell>
          <cell r="F47">
            <v>6830</v>
          </cell>
          <cell r="G47" t="str">
            <v>CHIASSO -  SVIZZERA -</v>
          </cell>
          <cell r="I47" t="str">
            <v>SVIZZERA</v>
          </cell>
          <cell r="J47" t="str">
            <v>0041- 916901908</v>
          </cell>
        </row>
        <row r="48">
          <cell r="B48">
            <v>4308</v>
          </cell>
          <cell r="C48" t="str">
            <v>ADET S.R.L.</v>
          </cell>
          <cell r="D48" t="str">
            <v>02149080992 02149080992</v>
          </cell>
          <cell r="E48" t="str">
            <v>VIA LAGUSTENA</v>
          </cell>
          <cell r="F48">
            <v>16131</v>
          </cell>
          <cell r="G48" t="str">
            <v>GENOVA</v>
          </cell>
          <cell r="H48" t="str">
            <v>GE</v>
          </cell>
          <cell r="I48" t="str">
            <v>ITALIA</v>
          </cell>
          <cell r="J48" t="str">
            <v>331-5643127</v>
          </cell>
        </row>
        <row r="49">
          <cell r="B49">
            <v>388</v>
          </cell>
          <cell r="C49" t="str">
            <v>ADF DI SASSI  ALESSANDRO</v>
          </cell>
          <cell r="D49" t="str">
            <v>00534320023 SSSLSN41M26A182 G</v>
          </cell>
          <cell r="E49" t="str">
            <v>VIA CANTON GRAGLIA, 6</v>
          </cell>
          <cell r="F49">
            <v>13882</v>
          </cell>
          <cell r="G49" t="str">
            <v>VERGNASCO DI  CERRIONE</v>
          </cell>
          <cell r="H49" t="str">
            <v>BI</v>
          </cell>
          <cell r="I49" t="str">
            <v>ITALIA</v>
          </cell>
          <cell r="J49" t="str">
            <v>015-671553</v>
          </cell>
        </row>
        <row r="50">
          <cell r="B50">
            <v>6767</v>
          </cell>
          <cell r="C50" t="str">
            <v>ADF S.R.L.</v>
          </cell>
          <cell r="D50" t="str">
            <v>02677450021 02677450021</v>
          </cell>
          <cell r="E50" t="str">
            <v>VIA CANTON GRAGLIA, 6</v>
          </cell>
          <cell r="F50">
            <v>13882</v>
          </cell>
          <cell r="G50" t="str">
            <v>VERGNASCO DI  CERRIONE</v>
          </cell>
          <cell r="H50" t="str">
            <v>BI</v>
          </cell>
          <cell r="I50" t="str">
            <v>ITALIA</v>
          </cell>
          <cell r="J50" t="str">
            <v>015671553</v>
          </cell>
        </row>
        <row r="51">
          <cell r="B51">
            <v>1212</v>
          </cell>
          <cell r="C51" t="str">
            <v>ADIB S.R.L.</v>
          </cell>
          <cell r="D51" t="str">
            <v>00619960107 00619960107</v>
          </cell>
          <cell r="E51" t="str">
            <v>VIA VINCENZO CAPELLO,  90-92</v>
          </cell>
          <cell r="F51">
            <v>16151</v>
          </cell>
          <cell r="G51" t="str">
            <v>GENOVA</v>
          </cell>
          <cell r="H51" t="str">
            <v>GE</v>
          </cell>
          <cell r="I51" t="str">
            <v>ITALIA</v>
          </cell>
          <cell r="J51" t="str">
            <v>010-417830</v>
          </cell>
        </row>
        <row r="52">
          <cell r="B52">
            <v>4474</v>
          </cell>
          <cell r="C52" t="str">
            <v>ADIB VENDING  S.R.L.</v>
          </cell>
          <cell r="D52" t="str">
            <v>02225940994 02225940994</v>
          </cell>
          <cell r="E52" t="str">
            <v>VIA VINCENZO CAPELLO,  90-92</v>
          </cell>
          <cell r="F52">
            <v>16151</v>
          </cell>
          <cell r="G52" t="str">
            <v>GENOVA</v>
          </cell>
          <cell r="H52" t="str">
            <v>GE</v>
          </cell>
          <cell r="I52" t="str">
            <v>ITALIA</v>
          </cell>
          <cell r="J52" t="str">
            <v>010-417830</v>
          </cell>
        </row>
        <row r="53">
          <cell r="B53">
            <v>4610</v>
          </cell>
          <cell r="C53" t="str">
            <v>AE SERVICE DI  BURAN ELEONORA</v>
          </cell>
          <cell r="D53" t="str">
            <v>03431360126 BRNLNR95H41D869 Z</v>
          </cell>
          <cell r="E53" t="str">
            <v>VIA A.SANSOVINO 11/D</v>
          </cell>
          <cell r="F53">
            <v>21012</v>
          </cell>
          <cell r="G53" t="str">
            <v>CASSANO  MAGNAGO</v>
          </cell>
          <cell r="H53" t="str">
            <v>VA</v>
          </cell>
          <cell r="I53" t="str">
            <v>ITALIA</v>
          </cell>
          <cell r="J53" t="str">
            <v>392-7361913</v>
          </cell>
        </row>
        <row r="54">
          <cell r="B54">
            <v>4317</v>
          </cell>
          <cell r="C54" t="str">
            <v>AESSE SERVICE S.R. L.</v>
          </cell>
          <cell r="D54" t="str">
            <v>01994760229 01994760229</v>
          </cell>
          <cell r="E54" t="str">
            <v>VIA FILOS, 45/B</v>
          </cell>
          <cell r="F54">
            <v>38015</v>
          </cell>
          <cell r="G54" t="str">
            <v>LAVIS</v>
          </cell>
          <cell r="H54" t="str">
            <v>TN</v>
          </cell>
          <cell r="I54" t="str">
            <v>ITALIA</v>
          </cell>
          <cell r="J54" t="str">
            <v>0461-246091</v>
          </cell>
        </row>
        <row r="55">
          <cell r="B55">
            <v>6768</v>
          </cell>
          <cell r="C55" t="str">
            <v>AGAFME S.R.L.</v>
          </cell>
          <cell r="D55" t="str">
            <v>02053510125 02053510125</v>
          </cell>
          <cell r="E55" t="str">
            <v>VIALE DELL'INDUSTRIA,  42</v>
          </cell>
          <cell r="F55">
            <v>21052</v>
          </cell>
          <cell r="G55" t="str">
            <v>BUSTO ARSIZIO</v>
          </cell>
          <cell r="H55" t="str">
            <v>VA</v>
          </cell>
          <cell r="I55" t="str">
            <v>ITALIA</v>
          </cell>
          <cell r="J55" t="str">
            <v xml:space="preserve">0331-351706 </v>
          </cell>
        </row>
        <row r="56">
          <cell r="B56">
            <v>4903</v>
          </cell>
          <cell r="C56" t="str">
            <v>AGAVISION SAGL</v>
          </cell>
          <cell r="D56" t="str">
            <v>205302159</v>
          </cell>
          <cell r="E56" t="str">
            <v>VIA BELVEDERE, 10</v>
          </cell>
          <cell r="F56">
            <v>6900</v>
          </cell>
          <cell r="G56" t="str">
            <v>LUGANO -  SVIZZERA -</v>
          </cell>
          <cell r="I56" t="str">
            <v>SVIZZERA</v>
          </cell>
          <cell r="J56" t="str">
            <v>004191- 2342264</v>
          </cell>
        </row>
        <row r="57">
          <cell r="B57">
            <v>3698</v>
          </cell>
          <cell r="C57" t="str">
            <v>AGIP DI  TROMBETTA VALTER</v>
          </cell>
          <cell r="D57" t="str">
            <v>02385810136 02385810136</v>
          </cell>
          <cell r="E57" t="str">
            <v>VIA PROVINCIALE PER  LECCO, 430</v>
          </cell>
          <cell r="F57">
            <v>22030</v>
          </cell>
          <cell r="G57" t="str">
            <v>LIPOMO</v>
          </cell>
          <cell r="H57" t="str">
            <v>CO</v>
          </cell>
          <cell r="I57" t="str">
            <v>ITALIA</v>
          </cell>
          <cell r="J57" t="str">
            <v>031-281266</v>
          </cell>
        </row>
        <row r="58">
          <cell r="B58">
            <v>2</v>
          </cell>
          <cell r="C58" t="str">
            <v>AGISTRI ARMANDO</v>
          </cell>
          <cell r="D58" t="str">
            <v>GSTRND46P25H884 H</v>
          </cell>
          <cell r="E58" t="str">
            <v>VIA EINAUDI,9</v>
          </cell>
          <cell r="F58">
            <v>20010</v>
          </cell>
          <cell r="G58" t="str">
            <v>INVERUNO</v>
          </cell>
          <cell r="H58" t="str">
            <v>MI</v>
          </cell>
          <cell r="I58" t="str">
            <v>ITALIA</v>
          </cell>
          <cell r="J58" t="str">
            <v>02-9786377</v>
          </cell>
        </row>
        <row r="59">
          <cell r="B59">
            <v>7480</v>
          </cell>
          <cell r="C59" t="str">
            <v>AGOSTINI  PIERPAOLO</v>
          </cell>
          <cell r="D59" t="str">
            <v>GSTPPL84H29L378B</v>
          </cell>
          <cell r="E59" t="str">
            <v>VIA FALORI NOGARE' 46/B</v>
          </cell>
          <cell r="F59">
            <v>38057</v>
          </cell>
          <cell r="G59" t="str">
            <v>PERGINE  VALSUGANA</v>
          </cell>
          <cell r="H59" t="str">
            <v>TN</v>
          </cell>
          <cell r="I59" t="str">
            <v>ITALIA</v>
          </cell>
          <cell r="J59" t="str">
            <v>349-3659699</v>
          </cell>
        </row>
        <row r="60">
          <cell r="B60">
            <v>4081</v>
          </cell>
          <cell r="C60" t="str">
            <v>AGOSTINI SERVICE  S.A.S.</v>
          </cell>
          <cell r="D60" t="str">
            <v>07585200962 07585200962</v>
          </cell>
          <cell r="E60" t="str">
            <v>VIA PISA,  200</v>
          </cell>
          <cell r="F60">
            <v>20099</v>
          </cell>
          <cell r="G60" t="str">
            <v>SESTO SAN  GIOVANNI</v>
          </cell>
          <cell r="H60" t="str">
            <v>MI</v>
          </cell>
          <cell r="I60" t="str">
            <v>ITALIA</v>
          </cell>
          <cell r="J60" t="str">
            <v>02-2409561</v>
          </cell>
        </row>
        <row r="61">
          <cell r="B61">
            <v>5412</v>
          </cell>
          <cell r="C61" t="str">
            <v>AGOSTO PIERA</v>
          </cell>
          <cell r="D61" t="str">
            <v>00614920098 00614920098</v>
          </cell>
          <cell r="E61" t="str">
            <v>VIA CASA LIDORA, 85</v>
          </cell>
          <cell r="F61">
            <v>17017</v>
          </cell>
          <cell r="G61" t="str">
            <v>COSSERIA</v>
          </cell>
          <cell r="H61" t="str">
            <v>SV</v>
          </cell>
          <cell r="I61" t="str">
            <v>ITALIA</v>
          </cell>
          <cell r="J61" t="str">
            <v>019-514112</v>
          </cell>
        </row>
        <row r="62">
          <cell r="B62">
            <v>7035</v>
          </cell>
          <cell r="C62" t="str">
            <v>AIEZZA GIUSEPPE</v>
          </cell>
          <cell r="D62" t="str">
            <v>ZZAGPP59L20G661 Z</v>
          </cell>
          <cell r="E62" t="str">
            <v>VIA BULGARIA, 19</v>
          </cell>
          <cell r="F62">
            <v>9045</v>
          </cell>
          <cell r="G62" t="str">
            <v>QUARTU SANT' ELENA</v>
          </cell>
          <cell r="H62" t="str">
            <v>CA</v>
          </cell>
          <cell r="I62" t="str">
            <v>ITALIA</v>
          </cell>
          <cell r="J62" t="str">
            <v>334-1172492</v>
          </cell>
        </row>
        <row r="63">
          <cell r="B63">
            <v>6772</v>
          </cell>
          <cell r="C63" t="str">
            <v>AIRONE S.A.S. DI  BELLANDI MASSIMO  &amp; C.</v>
          </cell>
          <cell r="D63" t="str">
            <v>03602700985 03602700985</v>
          </cell>
          <cell r="E63" t="str">
            <v>VIA ZONTA, 12</v>
          </cell>
          <cell r="F63">
            <v>25013</v>
          </cell>
          <cell r="G63" t="str">
            <v>CARPENEDOLO</v>
          </cell>
          <cell r="H63" t="str">
            <v>BS</v>
          </cell>
          <cell r="I63" t="str">
            <v>ITALIA</v>
          </cell>
          <cell r="J63" t="str">
            <v>366-1127914</v>
          </cell>
        </row>
        <row r="64">
          <cell r="B64">
            <v>6621</v>
          </cell>
          <cell r="C64" t="str">
            <v>AKA SERVICE S.R.L.  A SOCIO UNICO</v>
          </cell>
          <cell r="D64" t="str">
            <v>02290210505 02290210505</v>
          </cell>
          <cell r="E64" t="str">
            <v>VIA TOSCANA, 34/C - Z.I.  PERIGNANO</v>
          </cell>
          <cell r="F64">
            <v>56035</v>
          </cell>
          <cell r="G64" t="str">
            <v>CASCIANA  TERME - LARI</v>
          </cell>
          <cell r="H64" t="str">
            <v>PI</v>
          </cell>
          <cell r="I64" t="str">
            <v>ITALIA</v>
          </cell>
          <cell r="J64" t="str">
            <v>338-5499080</v>
          </cell>
        </row>
        <row r="65">
          <cell r="B65">
            <v>6894</v>
          </cell>
          <cell r="C65" t="str">
            <v>AL CHICCO D'ORO  S.A.S.</v>
          </cell>
          <cell r="D65" t="str">
            <v>10076930964</v>
          </cell>
          <cell r="E65" t="str">
            <v>VIA PADRE CLEMENTE  VISMARA, 55/57</v>
          </cell>
          <cell r="F65">
            <v>20864</v>
          </cell>
          <cell r="G65" t="str">
            <v>AGRATE  BRIANZA</v>
          </cell>
          <cell r="H65" t="str">
            <v>MB</v>
          </cell>
          <cell r="I65" t="str">
            <v>ITALIA</v>
          </cell>
          <cell r="J65" t="str">
            <v xml:space="preserve">039-6057888 </v>
          </cell>
        </row>
        <row r="66">
          <cell r="B66">
            <v>3866</v>
          </cell>
          <cell r="C66" t="str">
            <v>AL SHAMAL VENDING</v>
          </cell>
          <cell r="E66" t="str">
            <v>KING ABDULLAH THE  SECOND STR.</v>
          </cell>
          <cell r="F66">
            <v>21110</v>
          </cell>
          <cell r="G66" t="str">
            <v>IRBID - JORDAN</v>
          </cell>
          <cell r="I66" t="str">
            <v>GIORDANIA</v>
          </cell>
          <cell r="J66" t="str">
            <v>00962(0) 27105656</v>
          </cell>
        </row>
        <row r="67">
          <cell r="B67">
            <v>4460</v>
          </cell>
          <cell r="C67" t="str">
            <v>AL.CO. GROUP  CAFFE' S.R.L.</v>
          </cell>
          <cell r="D67" t="str">
            <v>02187140971 02187140971</v>
          </cell>
          <cell r="E67" t="str">
            <v>VIA BRUNO CIARI, 34</v>
          </cell>
          <cell r="F67">
            <v>59100</v>
          </cell>
          <cell r="G67" t="str">
            <v>PRATO</v>
          </cell>
          <cell r="H67" t="str">
            <v>PO</v>
          </cell>
          <cell r="I67" t="str">
            <v>ITALIA</v>
          </cell>
          <cell r="J67" t="str">
            <v xml:space="preserve">0574-661637 </v>
          </cell>
        </row>
        <row r="68">
          <cell r="B68">
            <v>7031</v>
          </cell>
          <cell r="C68" t="str">
            <v>ALASIA MONICA</v>
          </cell>
          <cell r="D68" t="str">
            <v>LSAMNC69M43B791 H</v>
          </cell>
          <cell r="E68" t="str">
            <v>VIA BONINO, 8</v>
          </cell>
          <cell r="F68">
            <v>12048</v>
          </cell>
          <cell r="G68" t="str">
            <v>SOMMARIVA DEL  BOSCO</v>
          </cell>
          <cell r="H68" t="str">
            <v>CN</v>
          </cell>
          <cell r="I68" t="str">
            <v>ITALIA</v>
          </cell>
          <cell r="J68"/>
        </row>
        <row r="69">
          <cell r="B69">
            <v>3889</v>
          </cell>
          <cell r="C69" t="str">
            <v>ALBA DI REZK  OSAMA</v>
          </cell>
          <cell r="D69" t="str">
            <v>03080120961 RZKSMO76B16Z336 S</v>
          </cell>
          <cell r="E69" t="str">
            <v>VIA VITTORIO EMANUELE  II  ,47</v>
          </cell>
          <cell r="F69">
            <v>20039</v>
          </cell>
          <cell r="G69" t="str">
            <v>VAREDO</v>
          </cell>
          <cell r="H69" t="str">
            <v>MB</v>
          </cell>
          <cell r="I69" t="str">
            <v>ITALIA</v>
          </cell>
          <cell r="J69" t="str">
            <v xml:space="preserve">02-32960444 </v>
          </cell>
        </row>
        <row r="70">
          <cell r="B70">
            <v>4034</v>
          </cell>
          <cell r="C70" t="str">
            <v>ALBA LEASING S.P.A.</v>
          </cell>
          <cell r="D70" t="str">
            <v>06707270960 06707270960</v>
          </cell>
          <cell r="E70" t="str">
            <v>VIA SILE, 18</v>
          </cell>
          <cell r="F70">
            <v>20139</v>
          </cell>
          <cell r="G70" t="str">
            <v>MILANO</v>
          </cell>
          <cell r="H70" t="str">
            <v>MI</v>
          </cell>
          <cell r="I70" t="str">
            <v>ITALIA</v>
          </cell>
          <cell r="J70" t="str">
            <v xml:space="preserve">02-367161 </v>
          </cell>
        </row>
        <row r="71">
          <cell r="B71">
            <v>4793</v>
          </cell>
          <cell r="C71" t="str">
            <v>ALBA OFFICINA DEL  CAFFE' S.R.L.</v>
          </cell>
          <cell r="D71" t="str">
            <v>08234320961 08234320961</v>
          </cell>
          <cell r="E71" t="str">
            <v>VIA SALOMONE, 85</v>
          </cell>
          <cell r="F71">
            <v>20138</v>
          </cell>
          <cell r="G71" t="str">
            <v>MILANO</v>
          </cell>
          <cell r="H71" t="str">
            <v>MI</v>
          </cell>
          <cell r="I71" t="str">
            <v>ITALIA</v>
          </cell>
          <cell r="J71" t="str">
            <v>0362-1583178</v>
          </cell>
        </row>
        <row r="72">
          <cell r="B72">
            <v>4216</v>
          </cell>
          <cell r="C72" t="str">
            <v>ALBERGO RINALDO  DI GNEMMI MAURO</v>
          </cell>
          <cell r="D72" t="str">
            <v>00514920032 GNMMRA52A15B019 Q</v>
          </cell>
          <cell r="E72" t="str">
            <v>VIA FOSCOLO, 31</v>
          </cell>
          <cell r="F72">
            <v>28021</v>
          </cell>
          <cell r="G72" t="str">
            <v>BORGOMANERO</v>
          </cell>
          <cell r="H72" t="str">
            <v>NO</v>
          </cell>
          <cell r="I72" t="str">
            <v>ITALIA</v>
          </cell>
          <cell r="J72" t="str">
            <v>0322-845264</v>
          </cell>
        </row>
        <row r="73">
          <cell r="B73">
            <v>4335</v>
          </cell>
          <cell r="C73" t="str">
            <v>ALBERTO AIELLO</v>
          </cell>
          <cell r="D73" t="str">
            <v>08107530969 LLALRT84S14C523T</v>
          </cell>
          <cell r="E73" t="str">
            <v>VIA PIAVE,  13</v>
          </cell>
          <cell r="F73">
            <v>20060</v>
          </cell>
          <cell r="G73" t="str">
            <v>PESSANO CON  BORNAGO</v>
          </cell>
          <cell r="H73" t="str">
            <v>MI</v>
          </cell>
          <cell r="I73" t="str">
            <v>ITALIA</v>
          </cell>
          <cell r="J73" t="str">
            <v>02-95740192</v>
          </cell>
        </row>
        <row r="74">
          <cell r="B74">
            <v>4687</v>
          </cell>
          <cell r="C74" t="str">
            <v>ALCA S.A.S. DI  MONTAGNOLO  STEFANO &amp; C.</v>
          </cell>
          <cell r="D74" t="str">
            <v>03406420129 03406420129</v>
          </cell>
          <cell r="E74" t="str">
            <v>VIA FRATELLI D' ITALIA, 5</v>
          </cell>
          <cell r="F74">
            <v>21052</v>
          </cell>
          <cell r="G74" t="str">
            <v>BUSTO ARSIZIO</v>
          </cell>
          <cell r="H74" t="str">
            <v>VA</v>
          </cell>
          <cell r="I74" t="str">
            <v>ITALIA</v>
          </cell>
          <cell r="J74" t="str">
            <v>0331-1740700</v>
          </cell>
        </row>
        <row r="75">
          <cell r="B75">
            <v>3883</v>
          </cell>
          <cell r="C75" t="str">
            <v>ALESSIORAUL DI  PETREAN MIHAELA  AMELIA</v>
          </cell>
          <cell r="D75" t="str">
            <v>10470350017 PTRMLM77S49Z129 L</v>
          </cell>
          <cell r="E75" t="str">
            <v>VIA CROCE, 9</v>
          </cell>
          <cell r="F75">
            <v>10077</v>
          </cell>
          <cell r="G75" t="str">
            <v>SAN MAURIZIO  CANAVESE</v>
          </cell>
          <cell r="H75" t="str">
            <v>TO</v>
          </cell>
          <cell r="I75" t="str">
            <v>ITALIA</v>
          </cell>
          <cell r="J75" t="str">
            <v>349-4493726</v>
          </cell>
        </row>
        <row r="76">
          <cell r="B76">
            <v>3061</v>
          </cell>
          <cell r="C76" t="str">
            <v>ALFA ESPRESS  SNC DI METALLI MARIO e C.</v>
          </cell>
          <cell r="E76" t="str">
            <v>VIA MONTEGLENO, snc</v>
          </cell>
          <cell r="F76">
            <v>3061</v>
          </cell>
          <cell r="G76" t="str">
            <v>URGNANO</v>
          </cell>
          <cell r="H76" t="str">
            <v>BG</v>
          </cell>
          <cell r="I76" t="str">
            <v>ITALIA</v>
          </cell>
          <cell r="J76" t="str">
            <v>035-898612</v>
          </cell>
        </row>
        <row r="77">
          <cell r="B77">
            <v>7038</v>
          </cell>
          <cell r="C77" t="str">
            <v>ALFANO LUANA</v>
          </cell>
          <cell r="D77" t="str">
            <v>LFNLNU89M62F158K</v>
          </cell>
          <cell r="E77" t="str">
            <v>VIA DANTE ALIGHIERI, 10</v>
          </cell>
          <cell r="F77">
            <v>42124</v>
          </cell>
          <cell r="G77" t="str">
            <v>REGGIO EMILIA</v>
          </cell>
          <cell r="H77" t="str">
            <v>RE</v>
          </cell>
          <cell r="I77" t="str">
            <v>ITALIA</v>
          </cell>
          <cell r="J77" t="str">
            <v>331-9050918</v>
          </cell>
        </row>
        <row r="78">
          <cell r="B78">
            <v>6439</v>
          </cell>
          <cell r="C78" t="str">
            <v>ALFORNO RUDY</v>
          </cell>
          <cell r="D78" t="str">
            <v>11586060011 LFRRDY69D07L219V</v>
          </cell>
          <cell r="E78" t="str">
            <v>VIA MOTRASSINO, 8</v>
          </cell>
          <cell r="F78">
            <v>10078</v>
          </cell>
          <cell r="G78" t="str">
            <v>VENARIA REALE</v>
          </cell>
          <cell r="H78" t="str">
            <v>TO</v>
          </cell>
          <cell r="I78" t="str">
            <v>ITALIA</v>
          </cell>
          <cell r="J78" t="str">
            <v>392-8109927</v>
          </cell>
        </row>
        <row r="79">
          <cell r="B79">
            <v>6590</v>
          </cell>
          <cell r="C79" t="str">
            <v>ALIBEV TRADE S.R.L.</v>
          </cell>
          <cell r="D79" t="str">
            <v>11864770018 11864770018</v>
          </cell>
          <cell r="E79" t="str">
            <v>VIA AGOSTINO DA  MONTEFELTRO, 2</v>
          </cell>
          <cell r="F79">
            <v>10134</v>
          </cell>
          <cell r="G79" t="str">
            <v>TORINO</v>
          </cell>
          <cell r="H79" t="str">
            <v>TO</v>
          </cell>
          <cell r="I79" t="str">
            <v>ITALIA</v>
          </cell>
          <cell r="J79" t="str">
            <v>011-3157111</v>
          </cell>
        </row>
        <row r="80">
          <cell r="B80">
            <v>10283</v>
          </cell>
          <cell r="C80" t="str">
            <v xml:space="preserve">ALIMENTARI CAZORZI S.P.A. </v>
          </cell>
          <cell r="E80" t="str">
            <v>VIALE PAOLO MOLIN, 38</v>
          </cell>
          <cell r="F80">
            <v>31040</v>
          </cell>
          <cell r="G80" t="str">
            <v>MANSUE'</v>
          </cell>
          <cell r="H80" t="str">
            <v>TV</v>
          </cell>
          <cell r="I80" t="str">
            <v>ITALIA</v>
          </cell>
          <cell r="J80" t="str">
            <v>0422-741146</v>
          </cell>
        </row>
        <row r="81">
          <cell r="B81">
            <v>5386</v>
          </cell>
          <cell r="C81" t="str">
            <v>ALISA S.A.S.</v>
          </cell>
          <cell r="D81" t="str">
            <v>01269800056 01269800056</v>
          </cell>
          <cell r="E81" t="str">
            <v>VIA CRISPI, 13</v>
          </cell>
          <cell r="F81">
            <v>14100</v>
          </cell>
          <cell r="G81" t="str">
            <v>ASTI</v>
          </cell>
          <cell r="H81" t="str">
            <v>AT</v>
          </cell>
          <cell r="I81" t="str">
            <v>ITALIA</v>
          </cell>
          <cell r="J81" t="str">
            <v>347-6366672</v>
          </cell>
        </row>
        <row r="82">
          <cell r="B82">
            <v>4259</v>
          </cell>
          <cell r="C82" t="str">
            <v>ALL INN  SERVICES S.R.L.</v>
          </cell>
          <cell r="D82" t="str">
            <v>10817110017 10817110017</v>
          </cell>
          <cell r="E82" t="str">
            <v>VIA ARCHIMEDE, 31</v>
          </cell>
          <cell r="F82">
            <v>20864</v>
          </cell>
          <cell r="G82" t="str">
            <v>AGRATE  BRIANZA</v>
          </cell>
          <cell r="H82" t="str">
            <v>MB</v>
          </cell>
          <cell r="I82" t="str">
            <v>ITALIA</v>
          </cell>
          <cell r="J82" t="str">
            <v>334-6750009</v>
          </cell>
        </row>
        <row r="83">
          <cell r="B83">
            <v>4675</v>
          </cell>
          <cell r="C83" t="str">
            <v>ALLUAN DI  DI  LOTTERIO MICHELA</v>
          </cell>
          <cell r="D83" t="str">
            <v>02380900023 LTTMHL70E66F952E</v>
          </cell>
          <cell r="E83" t="str">
            <v>FRAZIONE SAN MARTINO  CANTONE PEROTTI, 1</v>
          </cell>
          <cell r="F83">
            <v>13865</v>
          </cell>
          <cell r="G83" t="str">
            <v>CURINO</v>
          </cell>
          <cell r="H83" t="str">
            <v>BI</v>
          </cell>
          <cell r="I83" t="str">
            <v>ITALIA</v>
          </cell>
          <cell r="J83" t="str">
            <v>347-1110048</v>
          </cell>
        </row>
        <row r="84">
          <cell r="B84">
            <v>7260</v>
          </cell>
          <cell r="C84" t="str">
            <v>ALMA ARMANDO</v>
          </cell>
          <cell r="D84" t="str">
            <v>RMNLMA40M41Z110 X</v>
          </cell>
          <cell r="E84" t="str">
            <v>VIA BISALTA 15</v>
          </cell>
          <cell r="F84">
            <v>12020</v>
          </cell>
          <cell r="G84" t="str">
            <v>SAN ROCCO DI  BERNEZZO</v>
          </cell>
          <cell r="H84" t="str">
            <v>CN</v>
          </cell>
          <cell r="I84" t="str">
            <v>ITALIA</v>
          </cell>
          <cell r="J84" t="str">
            <v>340-2913185</v>
          </cell>
        </row>
        <row r="85">
          <cell r="B85">
            <v>2842</v>
          </cell>
          <cell r="C85" t="str">
            <v>ALMAR DRINK &amp; FOOD SRL</v>
          </cell>
          <cell r="E85" t="str">
            <v>VIA GUGLIELMO MARCONI,8</v>
          </cell>
          <cell r="F85">
            <v>20060</v>
          </cell>
          <cell r="G85" t="str">
            <v>PESSANO CON BORNAGO</v>
          </cell>
          <cell r="H85" t="str">
            <v>MI</v>
          </cell>
          <cell r="I85" t="str">
            <v>ITALIA</v>
          </cell>
          <cell r="J85" t="str">
            <v>02-2547777</v>
          </cell>
        </row>
        <row r="86">
          <cell r="B86">
            <v>4701</v>
          </cell>
          <cell r="C86" t="str">
            <v>ALOAND S.A.S. DI  ANDREA BONINO &amp;  C.</v>
          </cell>
          <cell r="D86" t="str">
            <v>10956000011 10956000011</v>
          </cell>
          <cell r="E86" t="str">
            <v>C.SO FRANCIA, 82</v>
          </cell>
          <cell r="F86">
            <v>10093</v>
          </cell>
          <cell r="G86" t="str">
            <v>COLLEGNO</v>
          </cell>
          <cell r="H86" t="str">
            <v>TO</v>
          </cell>
          <cell r="I86" t="str">
            <v>ITALIA</v>
          </cell>
          <cell r="J86" t="str">
            <v>338-1921995</v>
          </cell>
        </row>
        <row r="87">
          <cell r="B87">
            <v>7017</v>
          </cell>
          <cell r="C87" t="str">
            <v>ALOIA DOMENICO</v>
          </cell>
          <cell r="D87" t="str">
            <v>LAODNC76B28E038 H</v>
          </cell>
          <cell r="E87" t="str">
            <v>VIA TERGOLA, 6/E</v>
          </cell>
          <cell r="F87">
            <v>35135</v>
          </cell>
          <cell r="G87" t="str">
            <v>PADOVA</v>
          </cell>
          <cell r="H87" t="str">
            <v>PD</v>
          </cell>
          <cell r="I87" t="str">
            <v>ITALIA</v>
          </cell>
          <cell r="J87" t="str">
            <v>392-5035154</v>
          </cell>
        </row>
        <row r="88">
          <cell r="B88">
            <v>4785</v>
          </cell>
          <cell r="C88" t="str">
            <v>ALP S.R.L.</v>
          </cell>
          <cell r="D88" t="str">
            <v>02582980963 02582980963</v>
          </cell>
          <cell r="E88" t="str">
            <v>VIA DEI GUASTI, 39</v>
          </cell>
          <cell r="F88">
            <v>20826</v>
          </cell>
          <cell r="G88" t="str">
            <v>MISINTO</v>
          </cell>
          <cell r="H88" t="str">
            <v>MB</v>
          </cell>
          <cell r="I88" t="str">
            <v>ITALIA</v>
          </cell>
          <cell r="J88" t="str">
            <v>02-96320768</v>
          </cell>
        </row>
        <row r="89">
          <cell r="B89">
            <v>6826</v>
          </cell>
          <cell r="C89" t="str">
            <v>ALTAMURA SERGIO</v>
          </cell>
          <cell r="D89" t="str">
            <v>00917070096 LTMSRG56A02F284 V</v>
          </cell>
          <cell r="E89" t="str">
            <v>VIA LEONE GROSSO, 8</v>
          </cell>
          <cell r="F89">
            <v>17011</v>
          </cell>
          <cell r="G89" t="str">
            <v>ALBISOLA   SUPERIORE</v>
          </cell>
          <cell r="H89" t="str">
            <v>SV</v>
          </cell>
          <cell r="I89" t="str">
            <v>ITALIA</v>
          </cell>
          <cell r="J89" t="str">
            <v>346-2450640</v>
          </cell>
        </row>
        <row r="90">
          <cell r="B90">
            <v>6754</v>
          </cell>
          <cell r="C90" t="str">
            <v>ALTINI GIUSEPPE</v>
          </cell>
          <cell r="D90" t="str">
            <v>08158680150</v>
          </cell>
          <cell r="E90" t="str">
            <v>VIA DON GIOVANNI  GRIOLI, 6</v>
          </cell>
          <cell r="F90">
            <v>20161</v>
          </cell>
          <cell r="G90" t="str">
            <v>MILANO</v>
          </cell>
          <cell r="H90" t="str">
            <v>MI</v>
          </cell>
          <cell r="I90" t="str">
            <v>ITALIA</v>
          </cell>
          <cell r="J90" t="str">
            <v>02-64599497</v>
          </cell>
        </row>
        <row r="91">
          <cell r="B91">
            <v>6521</v>
          </cell>
          <cell r="C91" t="str">
            <v>ALVISA S.A.S.  DI RUMOLO  VITTORIA</v>
          </cell>
          <cell r="D91" t="str">
            <v>09020770963 09020770963</v>
          </cell>
          <cell r="E91" t="str">
            <v>VIA GASPARE ASELLI, 24</v>
          </cell>
          <cell r="F91">
            <v>20133</v>
          </cell>
          <cell r="G91" t="str">
            <v>MILANO</v>
          </cell>
          <cell r="H91" t="str">
            <v>MI</v>
          </cell>
          <cell r="I91" t="str">
            <v>ITALIA</v>
          </cell>
          <cell r="J91" t="str">
            <v xml:space="preserve">02-70103364 </v>
          </cell>
        </row>
        <row r="92">
          <cell r="B92">
            <v>4602</v>
          </cell>
          <cell r="C92" t="str">
            <v>ALYSSA S.R.L.</v>
          </cell>
          <cell r="D92" t="str">
            <v>11211670010 11211670010</v>
          </cell>
          <cell r="E92" t="str">
            <v>VIA MATTEOTTI, 3</v>
          </cell>
          <cell r="F92">
            <v>10074</v>
          </cell>
          <cell r="G92" t="str">
            <v>LANZO</v>
          </cell>
          <cell r="H92" t="str">
            <v>TO</v>
          </cell>
          <cell r="I92" t="str">
            <v>ITALIA</v>
          </cell>
          <cell r="J92" t="str">
            <v>338-5709084</v>
          </cell>
        </row>
        <row r="93">
          <cell r="B93">
            <v>7119</v>
          </cell>
          <cell r="C93" t="str">
            <v>AMALFITANO  MICHELE</v>
          </cell>
          <cell r="D93" t="str">
            <v>MLFMHL71E26F839S</v>
          </cell>
          <cell r="E93" t="str">
            <v>VIA PIER ALFONSO BARBE' 32/A</v>
          </cell>
          <cell r="F93">
            <v>48123</v>
          </cell>
          <cell r="G93" t="str">
            <v>MEZZANO</v>
          </cell>
          <cell r="H93" t="str">
            <v>RA</v>
          </cell>
          <cell r="I93" t="str">
            <v>ITALIA</v>
          </cell>
          <cell r="J93" t="str">
            <v>338-2601666</v>
          </cell>
        </row>
        <row r="94">
          <cell r="B94">
            <v>5821</v>
          </cell>
          <cell r="C94" t="str">
            <v>AMARANTO  SERVICE S.N.C. DI  G. MURGIA &amp; C.</v>
          </cell>
          <cell r="D94" t="str">
            <v>01122460098 01122460098</v>
          </cell>
          <cell r="E94" t="str">
            <v>VIA FIUMARA, 25</v>
          </cell>
          <cell r="F94">
            <v>17026</v>
          </cell>
          <cell r="G94" t="str">
            <v>NOLI</v>
          </cell>
          <cell r="H94" t="str">
            <v>SV</v>
          </cell>
          <cell r="I94" t="str">
            <v>ITALIA</v>
          </cell>
          <cell r="J94" t="str">
            <v>019-7485631</v>
          </cell>
        </row>
        <row r="95">
          <cell r="B95">
            <v>3123</v>
          </cell>
          <cell r="C95" t="str">
            <v>AMC DI RUSCELLO L. &amp; C. S.N.C.</v>
          </cell>
          <cell r="D95" t="str">
            <v>00817230014 00817230014</v>
          </cell>
          <cell r="E95" t="str">
            <v>VIA DE AMICIS, 49</v>
          </cell>
          <cell r="F95">
            <v>10093</v>
          </cell>
          <cell r="G95" t="str">
            <v>COLLEGNO</v>
          </cell>
          <cell r="H95" t="str">
            <v>TO</v>
          </cell>
          <cell r="I95" t="str">
            <v>ITALIA</v>
          </cell>
          <cell r="J95" t="str">
            <v>011-4114042</v>
          </cell>
        </row>
        <row r="96">
          <cell r="B96">
            <v>9877</v>
          </cell>
          <cell r="C96" t="str">
            <v>AMNESIA LOUNGE CAFE'</v>
          </cell>
          <cell r="E96" t="str">
            <v>VIALE BOCCACCIO,69</v>
          </cell>
          <cell r="F96">
            <v>21052</v>
          </cell>
          <cell r="G96" t="str">
            <v>BUSTO ARSIZIO</v>
          </cell>
          <cell r="H96" t="str">
            <v>VA</v>
          </cell>
          <cell r="I96" t="str">
            <v>ITALIA</v>
          </cell>
          <cell r="J96" t="str">
            <v>351-9044136</v>
          </cell>
        </row>
        <row r="97">
          <cell r="B97">
            <v>1901</v>
          </cell>
          <cell r="C97" t="str">
            <v>AMORUSO NICOLA</v>
          </cell>
          <cell r="D97" t="str">
            <v>MRSNCL47L24A883 L</v>
          </cell>
          <cell r="E97" t="str">
            <v>VIA MORELLI, 49</v>
          </cell>
          <cell r="F97">
            <v>21053</v>
          </cell>
          <cell r="G97" t="str">
            <v>CASTELLANZA</v>
          </cell>
          <cell r="H97" t="str">
            <v>VA</v>
          </cell>
          <cell r="I97" t="str">
            <v>ITALIA</v>
          </cell>
          <cell r="J97" t="str">
            <v>0331-503513</v>
          </cell>
        </row>
        <row r="98">
          <cell r="B98">
            <v>6457</v>
          </cell>
          <cell r="C98" t="str">
            <v>AMORUSO PIETRO</v>
          </cell>
          <cell r="D98" t="str">
            <v>03473560799 MRSPTR84B14D122 G</v>
          </cell>
          <cell r="E98" t="str">
            <v>VIA II TRAVERSA  MESSINA, 22</v>
          </cell>
          <cell r="F98">
            <v>88900</v>
          </cell>
          <cell r="G98" t="str">
            <v>CROTONE</v>
          </cell>
          <cell r="H98" t="str">
            <v>KR</v>
          </cell>
          <cell r="I98" t="str">
            <v>ITALIA</v>
          </cell>
          <cell r="J98" t="str">
            <v xml:space="preserve">328-0589740 </v>
          </cell>
        </row>
        <row r="99">
          <cell r="B99">
            <v>1780</v>
          </cell>
          <cell r="C99" t="str">
            <v>AMORUSO TOMMASO</v>
          </cell>
          <cell r="D99" t="str">
            <v>MRSTMS56D24A883 R</v>
          </cell>
          <cell r="E99" t="str">
            <v>VIA SANT' AGOSTINO, 12</v>
          </cell>
          <cell r="F99">
            <v>21057</v>
          </cell>
          <cell r="G99" t="str">
            <v>OLGIATE OLONA</v>
          </cell>
          <cell r="H99" t="str">
            <v>VA</v>
          </cell>
          <cell r="I99" t="str">
            <v>ITALIA</v>
          </cell>
        </row>
        <row r="100">
          <cell r="B100">
            <v>9863</v>
          </cell>
          <cell r="C100" t="str">
            <v>AN NOBILI TORNERIE S.R.L.</v>
          </cell>
          <cell r="E100" t="str">
            <v>VIA FRANZI, 71</v>
          </cell>
          <cell r="F100">
            <v>28021</v>
          </cell>
          <cell r="G100" t="str">
            <v>BORGOMANERO</v>
          </cell>
          <cell r="H100" t="str">
            <v>NO</v>
          </cell>
          <cell r="I100" t="str">
            <v>ITALIA</v>
          </cell>
          <cell r="J100" t="str">
            <v>329-5772288</v>
          </cell>
        </row>
        <row r="101">
          <cell r="B101">
            <v>6620</v>
          </cell>
          <cell r="C101" t="str">
            <v>AN.GI. GROUP S.R.L.</v>
          </cell>
          <cell r="D101" t="str">
            <v>03759080132 03759080132</v>
          </cell>
          <cell r="E101" t="str">
            <v>VIALE DELLA REPUBBLICA, 73/4</v>
          </cell>
          <cell r="F101">
            <v>22060</v>
          </cell>
          <cell r="G101" t="str">
            <v>CABIATE</v>
          </cell>
          <cell r="H101" t="str">
            <v>CO</v>
          </cell>
          <cell r="I101" t="str">
            <v>ITALIA</v>
          </cell>
          <cell r="J101" t="str">
            <v>031-2257160</v>
          </cell>
        </row>
        <row r="102">
          <cell r="B102">
            <v>6810</v>
          </cell>
          <cell r="C102" t="str">
            <v>ANDANTE ANTONIO</v>
          </cell>
          <cell r="D102" t="str">
            <v>10456510964 NDNNTN85H16F205 H</v>
          </cell>
          <cell r="E102" t="str">
            <v>VIA ADA NEGRI, 2</v>
          </cell>
          <cell r="F102">
            <v>20092</v>
          </cell>
          <cell r="G102" t="str">
            <v>CINISELLO  BALSAMO</v>
          </cell>
          <cell r="H102" t="str">
            <v>MI</v>
          </cell>
          <cell r="I102" t="str">
            <v>ITALIA</v>
          </cell>
          <cell r="J102" t="str">
            <v>380-8957603</v>
          </cell>
        </row>
        <row r="103">
          <cell r="B103">
            <v>4738</v>
          </cell>
          <cell r="C103" t="str">
            <v>ANDORNO  FURBACCO MAURO</v>
          </cell>
          <cell r="D103" t="str">
            <v>11227910012 NDRMRA68T05E379 K</v>
          </cell>
          <cell r="E103" t="str">
            <v>VIA DEL CEDRO, 1</v>
          </cell>
          <cell r="F103">
            <v>10010</v>
          </cell>
          <cell r="G103" t="str">
            <v>PEROSA  CANAVESE</v>
          </cell>
          <cell r="H103" t="str">
            <v>TO</v>
          </cell>
          <cell r="I103" t="str">
            <v>ITALIA</v>
          </cell>
          <cell r="J103" t="str">
            <v>380-1376797</v>
          </cell>
        </row>
        <row r="104">
          <cell r="B104">
            <v>6483</v>
          </cell>
          <cell r="C104" t="str">
            <v>ANDREA TRE PIU' DI  ANDREA GONZALES</v>
          </cell>
          <cell r="D104" t="str">
            <v>09932000962 GNZNRS91P56Z611 U</v>
          </cell>
          <cell r="E104" t="str">
            <v>VIA CALDARA 21</v>
          </cell>
          <cell r="F104">
            <v>20090</v>
          </cell>
          <cell r="G104" t="str">
            <v>TREZZANO SUL  NAVIGLIO</v>
          </cell>
          <cell r="H104" t="str">
            <v>MI</v>
          </cell>
          <cell r="I104" t="str">
            <v>ITALIA</v>
          </cell>
          <cell r="J104" t="str">
            <v xml:space="preserve">02-4453042 </v>
          </cell>
        </row>
        <row r="105">
          <cell r="B105">
            <v>6641</v>
          </cell>
          <cell r="C105" t="str">
            <v>ANGIOI MARIA</v>
          </cell>
          <cell r="D105" t="str">
            <v>NGAMNT64P44Z112 O</v>
          </cell>
          <cell r="E105" t="str">
            <v>VIA TORRES 52/A</v>
          </cell>
          <cell r="F105">
            <v>7100</v>
          </cell>
          <cell r="G105" t="str">
            <v>SASSARI</v>
          </cell>
          <cell r="H105" t="str">
            <v>SS</v>
          </cell>
          <cell r="I105" t="str">
            <v>ITALIA</v>
          </cell>
        </row>
        <row r="106">
          <cell r="B106">
            <v>4327</v>
          </cell>
          <cell r="C106" t="str">
            <v>ANGOLO DEL FIORE S.N.C.</v>
          </cell>
          <cell r="D106" t="str">
            <v>02458830029 02458830029</v>
          </cell>
          <cell r="E106" t="str">
            <v>VIA F.LLI ROSSELLI, 37</v>
          </cell>
          <cell r="F106">
            <v>13900</v>
          </cell>
          <cell r="G106" t="str">
            <v>BIELLA</v>
          </cell>
          <cell r="H106" t="str">
            <v>BI</v>
          </cell>
          <cell r="I106" t="str">
            <v>ITALIA</v>
          </cell>
          <cell r="J106" t="str">
            <v>015-402466</v>
          </cell>
        </row>
        <row r="107">
          <cell r="B107">
            <v>7721</v>
          </cell>
          <cell r="C107" t="str">
            <v>ANNA S.R.L.</v>
          </cell>
          <cell r="E107" t="str">
            <v>VIA SEMPIONE 76/A</v>
          </cell>
          <cell r="F107">
            <v>20017</v>
          </cell>
          <cell r="G107" t="str">
            <v>PARABIAGO</v>
          </cell>
          <cell r="H107" t="str">
            <v>MI</v>
          </cell>
          <cell r="I107" t="str">
            <v>ITALIA</v>
          </cell>
          <cell r="J107" t="str">
            <v>0331-494191</v>
          </cell>
        </row>
        <row r="108">
          <cell r="B108">
            <v>4514</v>
          </cell>
          <cell r="C108" t="str">
            <v>ANNALORO  MARIO</v>
          </cell>
          <cell r="D108" t="str">
            <v>11121100017 NNLMRA47R22G580 M</v>
          </cell>
          <cell r="E108" t="str">
            <v>VIA RIETI, 31</v>
          </cell>
          <cell r="F108">
            <v>10142</v>
          </cell>
          <cell r="G108" t="str">
            <v>TORINO</v>
          </cell>
          <cell r="H108" t="str">
            <v>TO</v>
          </cell>
          <cell r="I108" t="str">
            <v>ITALIA</v>
          </cell>
          <cell r="J108" t="str">
            <v>392-4092556</v>
          </cell>
        </row>
        <row r="109">
          <cell r="B109">
            <v>6914</v>
          </cell>
          <cell r="C109" t="str">
            <v>ANNIBAL&amp;CO S.R.L.</v>
          </cell>
          <cell r="D109" t="str">
            <v>03334880121</v>
          </cell>
          <cell r="E109" t="str">
            <v>VIA BRAMANTE, 3/BIS</v>
          </cell>
          <cell r="F109">
            <v>21052</v>
          </cell>
          <cell r="G109" t="str">
            <v>BUSTO ARSIZIO</v>
          </cell>
          <cell r="H109" t="str">
            <v>VA</v>
          </cell>
          <cell r="I109" t="str">
            <v>ITALIA</v>
          </cell>
          <cell r="J109" t="str">
            <v>0331-375890</v>
          </cell>
        </row>
        <row r="110">
          <cell r="B110">
            <v>10148</v>
          </cell>
          <cell r="C110" t="str">
            <v>ANSELMI MARIO GIUSEPPE</v>
          </cell>
          <cell r="E110" t="str">
            <v>VIA GANDINA, 40</v>
          </cell>
          <cell r="F110">
            <v>27017</v>
          </cell>
          <cell r="G110" t="str">
            <v>PIEVE PORTO MORONE</v>
          </cell>
          <cell r="H110" t="str">
            <v>PV</v>
          </cell>
          <cell r="I110" t="str">
            <v>ITALIA</v>
          </cell>
          <cell r="J110" t="str">
            <v>0382-788202</v>
          </cell>
        </row>
        <row r="111">
          <cell r="B111">
            <v>4299</v>
          </cell>
          <cell r="C111" t="str">
            <v>ANTICA TORREFAZIONE DEL CENTRO S.N.C.</v>
          </cell>
          <cell r="D111" t="str">
            <v>10199890012 10199890012</v>
          </cell>
          <cell r="E111" t="str">
            <v>VIA VALOBRA, 154/A</v>
          </cell>
          <cell r="F111">
            <v>10022</v>
          </cell>
          <cell r="G111" t="str">
            <v>CARMAGNOLA</v>
          </cell>
          <cell r="H111" t="str">
            <v>TO</v>
          </cell>
          <cell r="I111" t="str">
            <v>ITALIA</v>
          </cell>
          <cell r="J111" t="str">
            <v>011-9723177</v>
          </cell>
        </row>
        <row r="112">
          <cell r="B112">
            <v>7060</v>
          </cell>
          <cell r="C112" t="str">
            <v>ANTODARO  FRANCESCO</v>
          </cell>
          <cell r="D112" t="str">
            <v>NTDFNC75S08C136 Q</v>
          </cell>
          <cell r="E112" t="str">
            <v>VIA DEI LUCANI, 23</v>
          </cell>
          <cell r="F112">
            <v>75100</v>
          </cell>
          <cell r="G112" t="str">
            <v>MATERA</v>
          </cell>
          <cell r="H112" t="str">
            <v>MT</v>
          </cell>
          <cell r="I112" t="str">
            <v>ITALIA</v>
          </cell>
          <cell r="J112" t="str">
            <v>347-7739431</v>
          </cell>
        </row>
        <row r="113">
          <cell r="B113">
            <v>7328</v>
          </cell>
          <cell r="C113" t="str">
            <v>ANTONINI  GIUSEPPINA</v>
          </cell>
          <cell r="D113" t="str">
            <v>NTNGPP77R67E884 W</v>
          </cell>
          <cell r="E113" t="str">
            <v>VIA P.M. KOLBE 8/A</v>
          </cell>
          <cell r="F113">
            <v>25028</v>
          </cell>
          <cell r="G113" t="str">
            <v>CADIGNANO DI  VEROLANUOVA</v>
          </cell>
          <cell r="H113" t="str">
            <v>BS</v>
          </cell>
          <cell r="I113" t="str">
            <v>ITALIA</v>
          </cell>
          <cell r="J113" t="str">
            <v>339-4934284</v>
          </cell>
        </row>
        <row r="114">
          <cell r="B114">
            <v>6509</v>
          </cell>
          <cell r="C114" t="str">
            <v>APPLICAZIONI  LASER S.A.S. &amp; C.</v>
          </cell>
          <cell r="D114" t="str">
            <v>03449840127 03449840127</v>
          </cell>
          <cell r="E114" t="str">
            <v>VIA OLGIATE OLONA, 13</v>
          </cell>
          <cell r="F114">
            <v>21052</v>
          </cell>
          <cell r="G114" t="str">
            <v>BUSTO ARSIZIO</v>
          </cell>
          <cell r="H114" t="str">
            <v>VA</v>
          </cell>
          <cell r="I114" t="str">
            <v>ITALIA</v>
          </cell>
          <cell r="J114" t="str">
            <v>0331-406335</v>
          </cell>
        </row>
        <row r="115">
          <cell r="B115">
            <v>2820</v>
          </cell>
          <cell r="C115" t="str">
            <v>AQUA  VENDING S.R. L.</v>
          </cell>
          <cell r="D115" t="str">
            <v>09237900015 09237900015</v>
          </cell>
          <cell r="E115" t="str">
            <v>STRADA CARIGNANO,  46/TER</v>
          </cell>
          <cell r="F115">
            <v>10024</v>
          </cell>
          <cell r="G115" t="str">
            <v>MONCALIERI</v>
          </cell>
          <cell r="H115" t="str">
            <v>TO</v>
          </cell>
          <cell r="I115" t="str">
            <v>ITALIA</v>
          </cell>
          <cell r="J115" t="str">
            <v xml:space="preserve">011-6407963 </v>
          </cell>
        </row>
        <row r="116">
          <cell r="B116">
            <v>3793</v>
          </cell>
          <cell r="C116" t="str">
            <v>AQUARAMA GEST S. R.L.</v>
          </cell>
          <cell r="D116" t="str">
            <v>03339160040 03339160040</v>
          </cell>
          <cell r="E116" t="str">
            <v>VIA A. MANZONI, 330</v>
          </cell>
          <cell r="F116">
            <v>12060</v>
          </cell>
          <cell r="G116" t="str">
            <v>CASSINA  RIZZARDI</v>
          </cell>
          <cell r="H116" t="str">
            <v>CN</v>
          </cell>
          <cell r="I116" t="str">
            <v>ITALIA</v>
          </cell>
          <cell r="J116" t="str">
            <v>0173-776822</v>
          </cell>
        </row>
        <row r="117">
          <cell r="B117">
            <v>2696</v>
          </cell>
          <cell r="C117" t="str">
            <v>AQUARAMA S.R.L.</v>
          </cell>
          <cell r="D117" t="str">
            <v>03132050042 03132050042</v>
          </cell>
          <cell r="E117" t="str">
            <v>LOCALITA' PIANO, 38</v>
          </cell>
          <cell r="F117">
            <v>12060</v>
          </cell>
          <cell r="G117" t="str">
            <v>NOVELLO</v>
          </cell>
          <cell r="H117" t="str">
            <v>CN</v>
          </cell>
          <cell r="I117" t="str">
            <v>ITALIA</v>
          </cell>
          <cell r="J117" t="str">
            <v>0173-776822</v>
          </cell>
        </row>
        <row r="118">
          <cell r="B118">
            <v>7131</v>
          </cell>
          <cell r="C118" t="str">
            <v>AQUARIUS DI  ALESSIA TROLESE</v>
          </cell>
          <cell r="D118" t="str">
            <v>03004300301 TRLLSS75A69G224 S</v>
          </cell>
          <cell r="E118" t="str">
            <v>VIA SINODO, 21</v>
          </cell>
          <cell r="F118">
            <v>33050</v>
          </cell>
          <cell r="G118" t="str">
            <v>MARANO  LAGUNARE</v>
          </cell>
          <cell r="H118" t="str">
            <v>UD</v>
          </cell>
          <cell r="I118" t="str">
            <v>ITALIA</v>
          </cell>
        </row>
        <row r="119">
          <cell r="B119">
            <v>3639</v>
          </cell>
          <cell r="C119" t="str">
            <v>AR.DE. S.A.S. DI  FEDERICA  ARRIGONI &amp; C.</v>
          </cell>
          <cell r="D119" t="str">
            <v>03209420136 03209420136</v>
          </cell>
          <cell r="E119" t="str">
            <v>VIA DEI COLLI, 1</v>
          </cell>
          <cell r="F119">
            <v>22070</v>
          </cell>
          <cell r="G119" t="str">
            <v>GUANZATE</v>
          </cell>
          <cell r="H119" t="str">
            <v>CO</v>
          </cell>
          <cell r="I119" t="str">
            <v>ITALIA</v>
          </cell>
          <cell r="J119" t="str">
            <v>389-7914673</v>
          </cell>
        </row>
        <row r="120">
          <cell r="B120">
            <v>4448</v>
          </cell>
          <cell r="C120" t="str">
            <v>ARABA FENICE DI  CORRADOSSI  MAURIZIO &amp; C S.N. C.</v>
          </cell>
          <cell r="D120" t="str">
            <v>01353090473</v>
          </cell>
          <cell r="E120" t="str">
            <v>VIA SALVO D'ACQUISTO,  10/12</v>
          </cell>
          <cell r="F120">
            <v>51017</v>
          </cell>
          <cell r="G120" t="str">
            <v>PESCIA</v>
          </cell>
          <cell r="H120" t="str">
            <v>PT</v>
          </cell>
          <cell r="I120" t="str">
            <v>ITALIA</v>
          </cell>
          <cell r="J120" t="str">
            <v>333-3250055</v>
          </cell>
        </row>
        <row r="121">
          <cell r="B121">
            <v>6423</v>
          </cell>
          <cell r="C121" t="str">
            <v>ARBAT S.R.L.</v>
          </cell>
          <cell r="D121" t="str">
            <v>01562530053 01562530053</v>
          </cell>
          <cell r="E121" t="str">
            <v>VIA GARDINI, 2</v>
          </cell>
          <cell r="F121">
            <v>14015</v>
          </cell>
          <cell r="G121" t="str">
            <v>SAN DAMIANO D' ASTI</v>
          </cell>
          <cell r="H121" t="str">
            <v>AT</v>
          </cell>
          <cell r="I121" t="str">
            <v>ITALIA</v>
          </cell>
          <cell r="J121" t="str">
            <v>0141-1706391</v>
          </cell>
        </row>
        <row r="122">
          <cell r="B122">
            <v>6956</v>
          </cell>
          <cell r="C122" t="str">
            <v>ARCA S.R.L.</v>
          </cell>
          <cell r="D122" t="str">
            <v>02501150987</v>
          </cell>
          <cell r="E122" t="str">
            <v>VIA LITHOS, 11</v>
          </cell>
          <cell r="F122">
            <v>25086</v>
          </cell>
          <cell r="G122" t="str">
            <v>REZZATO</v>
          </cell>
          <cell r="H122" t="str">
            <v>BS</v>
          </cell>
          <cell r="I122" t="str">
            <v>ITALIA</v>
          </cell>
          <cell r="J122" t="str">
            <v>030-2794122</v>
          </cell>
        </row>
        <row r="123">
          <cell r="B123">
            <v>7249</v>
          </cell>
          <cell r="C123" t="str">
            <v>ARCO SPEDIZIONI  SPA A SOCIO UNICO</v>
          </cell>
          <cell r="D123" t="str">
            <v>08975100150 00327210183</v>
          </cell>
          <cell r="E123" t="str">
            <v>VIA BUONARROTI, 203</v>
          </cell>
          <cell r="F123">
            <v>20900</v>
          </cell>
          <cell r="G123" t="str">
            <v>MONZA</v>
          </cell>
          <cell r="H123" t="str">
            <v>MI</v>
          </cell>
          <cell r="I123" t="str">
            <v>ITALIA</v>
          </cell>
          <cell r="J123" t="str">
            <v>0331-268029</v>
          </cell>
        </row>
        <row r="124">
          <cell r="B124">
            <v>4542</v>
          </cell>
          <cell r="C124" t="str">
            <v>AREA BREAK DI  GIACOMO LIUZZI</v>
          </cell>
          <cell r="D124" t="str">
            <v>02124250743 LZZGCM74E27H096 A</v>
          </cell>
          <cell r="E124" t="str">
            <v>VIA SANT' ORONZO, 145</v>
          </cell>
          <cell r="F124">
            <v>72015</v>
          </cell>
          <cell r="G124" t="str">
            <v>FASANO</v>
          </cell>
          <cell r="H124" t="str">
            <v>BR</v>
          </cell>
          <cell r="I124" t="str">
            <v>ITALIA</v>
          </cell>
          <cell r="J124" t="str">
            <v>333-1239663</v>
          </cell>
        </row>
        <row r="125">
          <cell r="B125">
            <v>5371</v>
          </cell>
          <cell r="C125" t="str">
            <v>AREA DI SERVIZIO  CORTINO 2000 DI  FABIO NARDULLI</v>
          </cell>
          <cell r="D125" t="str">
            <v>03704880107 NRDFBA77E03D969 K</v>
          </cell>
          <cell r="E125" t="str">
            <v>VIA CORTINO C/O AREA  SERVIZIO CORTINO</v>
          </cell>
          <cell r="F125">
            <v>16015</v>
          </cell>
          <cell r="G125" t="str">
            <v>CASELLA</v>
          </cell>
          <cell r="H125" t="str">
            <v>GE</v>
          </cell>
          <cell r="I125" t="str">
            <v>ITALIA</v>
          </cell>
          <cell r="J125" t="str">
            <v xml:space="preserve">010-9682041 </v>
          </cell>
        </row>
        <row r="126">
          <cell r="B126">
            <v>4241</v>
          </cell>
          <cell r="C126" t="str">
            <v>AREA SELF S.A.S.</v>
          </cell>
          <cell r="D126" t="str">
            <v>10049070013 10049070013</v>
          </cell>
          <cell r="E126" t="str">
            <v>PIAZZALE EUROPA, 7</v>
          </cell>
          <cell r="F126">
            <v>10044</v>
          </cell>
          <cell r="G126" t="str">
            <v>PIANEZZA</v>
          </cell>
          <cell r="H126" t="str">
            <v>TO</v>
          </cell>
          <cell r="I126" t="str">
            <v>ITALIA</v>
          </cell>
          <cell r="J126" t="str">
            <v xml:space="preserve">011-9788294 </v>
          </cell>
        </row>
        <row r="127">
          <cell r="B127">
            <v>8205</v>
          </cell>
          <cell r="C127" t="str">
            <v>ARESCO SALVATORE</v>
          </cell>
          <cell r="E127" t="str">
            <v>VIA PROVINCIALE SNC</v>
          </cell>
          <cell r="F127">
            <v>19020</v>
          </cell>
          <cell r="G127" t="str">
            <v>FORNOLA</v>
          </cell>
          <cell r="H127" t="str">
            <v>SP</v>
          </cell>
          <cell r="I127" t="str">
            <v>ITALIA</v>
          </cell>
          <cell r="J127" t="str">
            <v>348-8568900</v>
          </cell>
        </row>
        <row r="128">
          <cell r="B128">
            <v>6817</v>
          </cell>
          <cell r="C128" t="str">
            <v>ARFAOUI NADIA</v>
          </cell>
          <cell r="D128" t="str">
            <v>02598050991 RFANDA80A47Z352 N</v>
          </cell>
          <cell r="E128" t="str">
            <v>VIA PIACENZA, 200E</v>
          </cell>
          <cell r="F128">
            <v>16138</v>
          </cell>
          <cell r="G128" t="str">
            <v>GENOVA</v>
          </cell>
          <cell r="H128" t="str">
            <v>GE</v>
          </cell>
          <cell r="I128" t="str">
            <v>ITALIA</v>
          </cell>
          <cell r="J128" t="str">
            <v>379-1741413</v>
          </cell>
        </row>
        <row r="129">
          <cell r="B129">
            <v>6710</v>
          </cell>
          <cell r="C129" t="str">
            <v>ARGO SERVIZI S.R. L.</v>
          </cell>
          <cell r="D129" t="str">
            <v>11688870010 11688870010</v>
          </cell>
          <cell r="E129" t="str">
            <v>PIAZZA FRANCESCO  CRISPI, 61</v>
          </cell>
          <cell r="F129">
            <v>10155</v>
          </cell>
          <cell r="G129" t="str">
            <v>TORINO</v>
          </cell>
          <cell r="H129" t="str">
            <v>TO</v>
          </cell>
          <cell r="I129" t="str">
            <v>ITALIA</v>
          </cell>
          <cell r="J129" t="str">
            <v>392-7342356</v>
          </cell>
        </row>
        <row r="130">
          <cell r="B130">
            <v>7380</v>
          </cell>
          <cell r="C130" t="str">
            <v>ARIETA GRAZIELLA</v>
          </cell>
          <cell r="D130" t="str">
            <v>RTAGZL75L45G975 C</v>
          </cell>
          <cell r="E130" t="str">
            <v>VIA PRIMO MAZZA 6</v>
          </cell>
          <cell r="F130">
            <v>27036</v>
          </cell>
          <cell r="G130" t="str">
            <v>MORTARA</v>
          </cell>
          <cell r="H130" t="str">
            <v>PV</v>
          </cell>
          <cell r="I130" t="str">
            <v>ITALIA</v>
          </cell>
          <cell r="J130" t="str">
            <v>380-1979486</v>
          </cell>
        </row>
        <row r="131">
          <cell r="B131">
            <v>6611</v>
          </cell>
          <cell r="C131" t="str">
            <v>ARLIN S.A.S DI DE  SANTO MICHELE &amp; C.</v>
          </cell>
          <cell r="D131" t="str">
            <v>11698470017 11698470017</v>
          </cell>
          <cell r="E131" t="str">
            <v>VIA BUSANO, 67</v>
          </cell>
          <cell r="F131">
            <v>10083</v>
          </cell>
          <cell r="G131" t="str">
            <v>FAVRIA</v>
          </cell>
          <cell r="H131" t="str">
            <v>TO</v>
          </cell>
          <cell r="I131" t="str">
            <v>ITALIA</v>
          </cell>
          <cell r="J131" t="str">
            <v>335-5652411</v>
          </cell>
        </row>
        <row r="132">
          <cell r="B132">
            <v>8587</v>
          </cell>
          <cell r="C132" t="str">
            <v>ARNAUT ILONA</v>
          </cell>
          <cell r="E132" t="str">
            <v>VIA ROMANA,81 - CEPARANA</v>
          </cell>
          <cell r="F132">
            <v>19020</v>
          </cell>
          <cell r="G132" t="str">
            <v>BOLANO</v>
          </cell>
          <cell r="H132" t="str">
            <v>SP</v>
          </cell>
          <cell r="I132" t="str">
            <v>ITALIA</v>
          </cell>
          <cell r="J132" t="str">
            <v>348-5856447</v>
          </cell>
        </row>
        <row r="133">
          <cell r="B133">
            <v>4254</v>
          </cell>
          <cell r="C133" t="str">
            <v>AROMA  EXPRESSO DI  PIOTTO ROBERTO</v>
          </cell>
          <cell r="D133" t="str">
            <v>03648750242 PTTRRT81M27A471 X</v>
          </cell>
          <cell r="E133" t="str">
            <v>VIA DELLA REPUBBLICA,  24</v>
          </cell>
          <cell r="F133">
            <v>36056</v>
          </cell>
          <cell r="G133" t="str">
            <v>TEZZE SUL  BRENTA</v>
          </cell>
          <cell r="H133" t="str">
            <v>VI</v>
          </cell>
          <cell r="I133" t="str">
            <v>ITALIA</v>
          </cell>
          <cell r="J133" t="str">
            <v>0424-539383</v>
          </cell>
        </row>
        <row r="134">
          <cell r="B134">
            <v>4070</v>
          </cell>
          <cell r="C134" t="str">
            <v>AROMA DI CAFFE' DI MAZZITELLI  GIUSEPPINA</v>
          </cell>
          <cell r="D134" t="str">
            <v>03347250130 MZZGPP54H53D864 R</v>
          </cell>
          <cell r="E134" t="str">
            <v>VIA RISORGIMENTO, 5</v>
          </cell>
          <cell r="F134">
            <v>22071</v>
          </cell>
          <cell r="G134" t="str">
            <v>CADORAGO</v>
          </cell>
          <cell r="H134" t="str">
            <v>CO</v>
          </cell>
          <cell r="I134" t="str">
            <v>ITALIA</v>
          </cell>
          <cell r="J134" t="str">
            <v>031-901914</v>
          </cell>
        </row>
        <row r="135">
          <cell r="B135">
            <v>3675</v>
          </cell>
          <cell r="C135" t="str">
            <v>AROMA S.A.S.</v>
          </cell>
          <cell r="D135" t="str">
            <v>10058240010 10058240010</v>
          </cell>
          <cell r="E135" t="str">
            <v>VIA MONGINEVRO, 70</v>
          </cell>
          <cell r="F135">
            <v>10050</v>
          </cell>
          <cell r="G135" t="str">
            <v>SALBERTRAND</v>
          </cell>
          <cell r="H135" t="str">
            <v>TO</v>
          </cell>
          <cell r="I135" t="str">
            <v>ITALIA</v>
          </cell>
          <cell r="J135" t="str">
            <v xml:space="preserve">011-7900000 </v>
          </cell>
        </row>
        <row r="136">
          <cell r="B136">
            <v>6636</v>
          </cell>
          <cell r="C136" t="str">
            <v>AROMA S.N.C. DI  COLETTI A &amp; C.</v>
          </cell>
          <cell r="D136" t="str">
            <v>03557490046 03557490046</v>
          </cell>
          <cell r="E136" t="str">
            <v>CORSO PIAVE, 12 BIS</v>
          </cell>
          <cell r="F136">
            <v>12051</v>
          </cell>
          <cell r="G136" t="str">
            <v>ALBA</v>
          </cell>
          <cell r="H136" t="str">
            <v>CN</v>
          </cell>
          <cell r="I136" t="str">
            <v>ITALIA</v>
          </cell>
          <cell r="J136" t="str">
            <v>0172-373097</v>
          </cell>
        </row>
        <row r="137">
          <cell r="B137">
            <v>3645</v>
          </cell>
          <cell r="C137" t="str">
            <v>AROMA VENDING S. R.L.</v>
          </cell>
          <cell r="D137" t="str">
            <v>03309160046 03309160046</v>
          </cell>
          <cell r="E137" t="str">
            <v>VIA SAVIGLIANO, 28</v>
          </cell>
          <cell r="F137">
            <v>12030</v>
          </cell>
          <cell r="G137" t="str">
            <v>MONASTEROLO  DI SAVIGLIANO</v>
          </cell>
          <cell r="H137" t="str">
            <v>CN</v>
          </cell>
          <cell r="I137" t="str">
            <v>ITALIA</v>
          </cell>
          <cell r="J137" t="str">
            <v>0172-373097</v>
          </cell>
        </row>
        <row r="138">
          <cell r="B138">
            <v>2588</v>
          </cell>
          <cell r="C138" t="str">
            <v>AROMI DI CAFFE' DI BRUSASCO PIER  LUIGI</v>
          </cell>
          <cell r="D138" t="str">
            <v>01861270062 01861270062</v>
          </cell>
          <cell r="E138" t="str">
            <v>VIA U. RATTAZZI, 27</v>
          </cell>
          <cell r="F138">
            <v>15025</v>
          </cell>
          <cell r="G138" t="str">
            <v>MORANO SUL PO</v>
          </cell>
          <cell r="H138" t="str">
            <v>AL</v>
          </cell>
          <cell r="I138" t="str">
            <v>ITALIA</v>
          </cell>
          <cell r="J138" t="str">
            <v>0142-85385</v>
          </cell>
        </row>
        <row r="139">
          <cell r="B139">
            <v>6821</v>
          </cell>
          <cell r="C139" t="str">
            <v>AROSIO LUCE S.R.L.</v>
          </cell>
          <cell r="D139" t="str">
            <v>03063260966 03063260966</v>
          </cell>
          <cell r="E139" t="str">
            <v>VIA DELL' ARCO, 15</v>
          </cell>
          <cell r="F139">
            <v>20851</v>
          </cell>
          <cell r="G139" t="str">
            <v>LISSONE</v>
          </cell>
          <cell r="H139" t="str">
            <v>MB</v>
          </cell>
          <cell r="I139" t="str">
            <v>ITALIA</v>
          </cell>
          <cell r="J139" t="str">
            <v>039-481062</v>
          </cell>
        </row>
        <row r="140">
          <cell r="B140">
            <v>6644</v>
          </cell>
          <cell r="C140" t="str">
            <v>AROSIO STEFANO</v>
          </cell>
          <cell r="D140" t="str">
            <v>04948980968 RSASFN69L21F704C</v>
          </cell>
          <cell r="E140" t="str">
            <v>VIA REPUBBLICA, 90/A</v>
          </cell>
          <cell r="F140">
            <v>20851</v>
          </cell>
          <cell r="G140" t="str">
            <v>LISSONE</v>
          </cell>
          <cell r="H140" t="str">
            <v>MB</v>
          </cell>
          <cell r="I140" t="str">
            <v>ITALIA</v>
          </cell>
        </row>
        <row r="141">
          <cell r="B141">
            <v>6434</v>
          </cell>
          <cell r="C141" t="str">
            <v>ARP DI PALAZZESI  ADRIANO</v>
          </cell>
          <cell r="D141" t="str">
            <v>11675390014 PLZDRN74T31L219H</v>
          </cell>
          <cell r="E141" t="str">
            <v>VIA MADAMA CRISTINA,  100</v>
          </cell>
          <cell r="F141">
            <v>10100</v>
          </cell>
          <cell r="G141" t="str">
            <v>TORINO</v>
          </cell>
          <cell r="H141" t="str">
            <v>TO</v>
          </cell>
          <cell r="I141" t="str">
            <v>ITALIA</v>
          </cell>
          <cell r="J141" t="str">
            <v>348-7596980</v>
          </cell>
        </row>
        <row r="142">
          <cell r="B142">
            <v>6968</v>
          </cell>
          <cell r="C142" t="str">
            <v>ARRABITO LUCA</v>
          </cell>
          <cell r="D142" t="str">
            <v>03797800137 RRBLCU83H27C933 W</v>
          </cell>
          <cell r="E142" t="str">
            <v>VIALE MASIA, 77</v>
          </cell>
          <cell r="F142">
            <v>22100</v>
          </cell>
          <cell r="G142" t="str">
            <v>COMO</v>
          </cell>
          <cell r="H142" t="str">
            <v>CO</v>
          </cell>
          <cell r="I142" t="str">
            <v>ITALIA</v>
          </cell>
          <cell r="J142" t="str">
            <v>340-7979435</v>
          </cell>
        </row>
        <row r="143">
          <cell r="B143">
            <v>4210</v>
          </cell>
          <cell r="C143" t="str">
            <v>ART CAFE' DI  BRESSELLO  GIANLUCA</v>
          </cell>
          <cell r="D143" t="str">
            <v>02688730247</v>
          </cell>
          <cell r="E143" t="str">
            <v>VIA QUASIMODO, 25</v>
          </cell>
          <cell r="F143">
            <v>36075</v>
          </cell>
          <cell r="G143" t="str">
            <v>MONTECCHIO  MAGGIORE</v>
          </cell>
          <cell r="H143" t="str">
            <v>VI</v>
          </cell>
          <cell r="I143" t="str">
            <v>ITALIA</v>
          </cell>
          <cell r="J143" t="str">
            <v>348-6420147</v>
          </cell>
        </row>
        <row r="144">
          <cell r="B144">
            <v>7798</v>
          </cell>
          <cell r="C144" t="str">
            <v>ART CAFE' DI COLACE SALVATORE</v>
          </cell>
          <cell r="E144" t="str">
            <v>VIALE GIACOMO MATTEOTTI, 149</v>
          </cell>
          <cell r="F144">
            <v>20099</v>
          </cell>
          <cell r="G144" t="str">
            <v>SESTO SAN GIOVANNI</v>
          </cell>
          <cell r="H144" t="str">
            <v>MI</v>
          </cell>
          <cell r="I144" t="str">
            <v>ITALIA</v>
          </cell>
        </row>
        <row r="145">
          <cell r="B145">
            <v>6447</v>
          </cell>
          <cell r="C145" t="str">
            <v>ART COFFEE S.R.L.  SOC.UNIPERSONALE</v>
          </cell>
          <cell r="D145" t="str">
            <v>09671370964 09671370964</v>
          </cell>
          <cell r="E145" t="str">
            <v>VIA TONALE, 5</v>
          </cell>
          <cell r="F145">
            <v>20021</v>
          </cell>
          <cell r="G145" t="str">
            <v>BARANZATE</v>
          </cell>
          <cell r="H145" t="str">
            <v>MI</v>
          </cell>
          <cell r="I145" t="str">
            <v>ITALIA</v>
          </cell>
          <cell r="J145" t="str">
            <v>342-8003851</v>
          </cell>
        </row>
        <row r="146">
          <cell r="B146">
            <v>6638</v>
          </cell>
          <cell r="C146" t="str">
            <v>ARTE CAFFE' DI  MICALE  ALESSANDRO</v>
          </cell>
          <cell r="D146" t="str">
            <v>03646950125 MCLLSN89C01E734 W</v>
          </cell>
          <cell r="E146" t="str">
            <v>VIALE GARIBALDI, 77</v>
          </cell>
          <cell r="F146">
            <v>21014</v>
          </cell>
          <cell r="G146" t="str">
            <v>LAVENO  MOMBELLO</v>
          </cell>
          <cell r="H146" t="str">
            <v>VA</v>
          </cell>
          <cell r="I146" t="str">
            <v>ITALIA</v>
          </cell>
          <cell r="J146" t="str">
            <v>340-8864485</v>
          </cell>
        </row>
        <row r="147">
          <cell r="B147">
            <v>6977</v>
          </cell>
          <cell r="C147" t="str">
            <v>ARTE E CAFFE' DI  ANDREOLI MARINA  KATIA</v>
          </cell>
          <cell r="D147" t="str">
            <v>10035930964 NDRMNK69T55F205 W</v>
          </cell>
          <cell r="E147" t="str">
            <v>VIA BEOLCHI, 10</v>
          </cell>
          <cell r="F147">
            <v>20012</v>
          </cell>
          <cell r="G147" t="str">
            <v>CUGGIONO</v>
          </cell>
          <cell r="H147" t="str">
            <v>MI</v>
          </cell>
          <cell r="I147" t="str">
            <v>ITALIA</v>
          </cell>
          <cell r="J147" t="str">
            <v>349-8444133</v>
          </cell>
        </row>
        <row r="148">
          <cell r="B148">
            <v>6854</v>
          </cell>
          <cell r="C148" t="str">
            <v>ASEMOTA  BLESSING</v>
          </cell>
          <cell r="D148" t="str">
            <v>01667290058 SMTBSS82C53Z335 Z</v>
          </cell>
          <cell r="E148" t="str">
            <v>VIA MOROZZO DELLA  ROCCA, 5</v>
          </cell>
          <cell r="F148">
            <v>14017</v>
          </cell>
          <cell r="G148" t="str">
            <v>VALFENERA</v>
          </cell>
          <cell r="H148" t="str">
            <v>AT</v>
          </cell>
          <cell r="I148" t="str">
            <v>ITALIA</v>
          </cell>
          <cell r="J148" t="str">
            <v xml:space="preserve">011-19837007 </v>
          </cell>
        </row>
        <row r="149">
          <cell r="B149">
            <v>4758</v>
          </cell>
          <cell r="C149" t="str">
            <v>ASFARM</v>
          </cell>
          <cell r="D149" t="str">
            <v>02020550121 02020550121</v>
          </cell>
          <cell r="E149" t="str">
            <v>VIA JAMORETTI, 51</v>
          </cell>
          <cell r="F149">
            <v>21056</v>
          </cell>
          <cell r="G149" t="str">
            <v>INDUNO OLONA</v>
          </cell>
          <cell r="H149" t="str">
            <v>VA</v>
          </cell>
          <cell r="I149" t="str">
            <v>ITALIA</v>
          </cell>
          <cell r="J149" t="str">
            <v>0332-206001</v>
          </cell>
        </row>
        <row r="150">
          <cell r="B150">
            <v>6951</v>
          </cell>
          <cell r="C150" t="str">
            <v>ASS. PER LA CHIESA DI DIO APOSTOLICA RUMENA</v>
          </cell>
          <cell r="D150" t="str">
            <v>95577530017</v>
          </cell>
          <cell r="E150" t="str">
            <v>VIA PREVIATI, 18/A</v>
          </cell>
          <cell r="F150">
            <v>10100</v>
          </cell>
          <cell r="G150" t="str">
            <v>TORINO</v>
          </cell>
          <cell r="H150" t="str">
            <v>TO</v>
          </cell>
          <cell r="I150" t="str">
            <v>ITALIA</v>
          </cell>
          <cell r="J150" t="str">
            <v>340-5519219</v>
          </cell>
        </row>
        <row r="151">
          <cell r="B151">
            <v>6728</v>
          </cell>
          <cell r="C151" t="str">
            <v>ASS. VOLONTARIATO "A  BRACCIA APERTE  CON MARIA"</v>
          </cell>
          <cell r="D151" t="str">
            <v>92515020011</v>
          </cell>
          <cell r="E151" t="str">
            <v>VIA TEALDI, 5</v>
          </cell>
          <cell r="F151">
            <v>10082</v>
          </cell>
          <cell r="G151" t="str">
            <v>CUORGNE'</v>
          </cell>
          <cell r="H151" t="str">
            <v>TO</v>
          </cell>
          <cell r="I151" t="str">
            <v>ITALIA</v>
          </cell>
          <cell r="J151" t="str">
            <v>0125-564014</v>
          </cell>
        </row>
        <row r="152">
          <cell r="B152">
            <v>6838</v>
          </cell>
          <cell r="C152" t="str">
            <v>ASSOCIAZIONE  GRUPPO ANZIANI DI  STRAMBINO</v>
          </cell>
          <cell r="D152" t="str">
            <v>93013140012</v>
          </cell>
          <cell r="E152" t="str">
            <v>VIA COTONIFICIO, 59</v>
          </cell>
          <cell r="F152">
            <v>10019</v>
          </cell>
          <cell r="G152" t="str">
            <v>STRAMBINO</v>
          </cell>
          <cell r="H152" t="str">
            <v>TO</v>
          </cell>
          <cell r="I152" t="str">
            <v>ITALIA</v>
          </cell>
          <cell r="J152" t="str">
            <v>338- 8407303</v>
          </cell>
        </row>
        <row r="153">
          <cell r="B153">
            <v>5252</v>
          </cell>
          <cell r="C153" t="str">
            <v>ASSOCIAZIONE  OLAMI DAMANHUR</v>
          </cell>
          <cell r="D153" t="str">
            <v>10174001207</v>
          </cell>
          <cell r="E153" t="str">
            <v>VIA PRAMARZO, 3</v>
          </cell>
          <cell r="F153">
            <v>10080</v>
          </cell>
          <cell r="G153" t="str">
            <v>BALDISSERO  CANAVESE</v>
          </cell>
          <cell r="H153" t="str">
            <v>TO</v>
          </cell>
          <cell r="I153" t="str">
            <v>ITALIA</v>
          </cell>
          <cell r="J153" t="str">
            <v>0124-512236</v>
          </cell>
        </row>
        <row r="154">
          <cell r="B154">
            <v>4931</v>
          </cell>
          <cell r="C154" t="str">
            <v>ASSOCIAZIONE  PEJDA DI  PROMOZIONE  SOCIALE</v>
          </cell>
          <cell r="D154" t="str">
            <v>92518020018</v>
          </cell>
          <cell r="E154" t="str">
            <v>VIA PRAMARZO, 3</v>
          </cell>
          <cell r="F154">
            <v>10080</v>
          </cell>
          <cell r="G154" t="str">
            <v>BALDISSERO C. SE</v>
          </cell>
          <cell r="H154" t="str">
            <v>TO</v>
          </cell>
          <cell r="I154" t="str">
            <v>ITALIA</v>
          </cell>
          <cell r="J154" t="str">
            <v>0124-512236</v>
          </cell>
        </row>
        <row r="155">
          <cell r="B155">
            <v>6507</v>
          </cell>
          <cell r="C155" t="str">
            <v>ASSOCIAZIONE  PRIMO PIANO</v>
          </cell>
          <cell r="D155" t="str">
            <v>11733130014 11733130014</v>
          </cell>
          <cell r="E155" t="str">
            <v>VIA TORINO, 264/1</v>
          </cell>
          <cell r="F155">
            <v>10028</v>
          </cell>
          <cell r="G155" t="str">
            <v>TROFARELLO</v>
          </cell>
          <cell r="H155" t="str">
            <v>TO</v>
          </cell>
          <cell r="I155" t="str">
            <v>ITALIA</v>
          </cell>
          <cell r="J155" t="str">
            <v>347-7310911</v>
          </cell>
        </row>
        <row r="156">
          <cell r="B156">
            <v>6741</v>
          </cell>
          <cell r="C156" t="str">
            <v>ASSY S.R.L.S.</v>
          </cell>
          <cell r="D156" t="str">
            <v>09720770966 09720770966</v>
          </cell>
          <cell r="E156" t="str">
            <v>VIA MILLY, 12</v>
          </cell>
          <cell r="F156">
            <v>20153</v>
          </cell>
          <cell r="G156" t="str">
            <v>MILANO</v>
          </cell>
          <cell r="H156" t="str">
            <v>MI</v>
          </cell>
          <cell r="I156" t="str">
            <v>ITALIA</v>
          </cell>
          <cell r="J156" t="str">
            <v>348-0302368</v>
          </cell>
        </row>
        <row r="157">
          <cell r="B157">
            <v>7382</v>
          </cell>
          <cell r="C157" t="str">
            <v>ASTI ROBERTA</v>
          </cell>
          <cell r="D157" t="str">
            <v>STARRT77C58F205 W</v>
          </cell>
          <cell r="E157" t="str">
            <v>VIA ILLIRICO 11</v>
          </cell>
          <cell r="F157">
            <v>20133</v>
          </cell>
          <cell r="G157" t="str">
            <v>MILANO</v>
          </cell>
          <cell r="H157" t="str">
            <v>MI</v>
          </cell>
          <cell r="I157" t="str">
            <v>ITALIA</v>
          </cell>
          <cell r="J157" t="str">
            <v>347-4913023</v>
          </cell>
        </row>
        <row r="158">
          <cell r="B158">
            <v>8888</v>
          </cell>
          <cell r="C158" t="str">
            <v>ATHENA CARRELLI ELEVATORI</v>
          </cell>
          <cell r="E158" t="str">
            <v>VIA ROMA 65/67</v>
          </cell>
          <cell r="F158">
            <v>20028</v>
          </cell>
          <cell r="G158" t="str">
            <v>SAN VITTORE OLONA</v>
          </cell>
          <cell r="H158" t="str">
            <v>MI</v>
          </cell>
          <cell r="I158" t="str">
            <v>ITALIA</v>
          </cell>
          <cell r="J158" t="str">
            <v>0331-518500</v>
          </cell>
        </row>
        <row r="159">
          <cell r="B159">
            <v>6441</v>
          </cell>
          <cell r="C159" t="str">
            <v>ATL DI CALZONI  DANIEL</v>
          </cell>
          <cell r="D159" t="str">
            <v>09007960967 CLZDNL87T22D912 U</v>
          </cell>
          <cell r="E159" t="str">
            <v>VIA ROMA,245</v>
          </cell>
          <cell r="F159">
            <v>20020</v>
          </cell>
          <cell r="G159" t="str">
            <v>SOLARO</v>
          </cell>
          <cell r="H159" t="str">
            <v>MI</v>
          </cell>
          <cell r="I159" t="str">
            <v>ITALIA</v>
          </cell>
          <cell r="J159" t="str">
            <v>327-8667791</v>
          </cell>
        </row>
        <row r="160">
          <cell r="B160">
            <v>6640</v>
          </cell>
          <cell r="C160" t="str">
            <v>ATL SPA - IVECO</v>
          </cell>
          <cell r="D160" t="str">
            <v>01294330137 01294330137</v>
          </cell>
          <cell r="E160" t="str">
            <v>VIA AL CONFINE, 19/21</v>
          </cell>
          <cell r="F160">
            <v>23823</v>
          </cell>
          <cell r="G160" t="str">
            <v>COLICO</v>
          </cell>
          <cell r="H160" t="str">
            <v>LC</v>
          </cell>
          <cell r="I160" t="str">
            <v>ITALIA</v>
          </cell>
          <cell r="J160" t="str">
            <v>0341-940556</v>
          </cell>
        </row>
        <row r="161">
          <cell r="B161">
            <v>10149</v>
          </cell>
          <cell r="C161" t="str">
            <v>AURORA VENDING DI MAMDOUH BADR</v>
          </cell>
          <cell r="E161" t="str">
            <v>VIA VIGASIO, 73</v>
          </cell>
          <cell r="F161">
            <v>37135</v>
          </cell>
          <cell r="G161" t="str">
            <v>VERONA</v>
          </cell>
          <cell r="H161" t="str">
            <v>VR</v>
          </cell>
          <cell r="I161" t="str">
            <v>ITALIA</v>
          </cell>
          <cell r="J161" t="str">
            <v>349-4178997</v>
          </cell>
        </row>
        <row r="162">
          <cell r="B162">
            <v>5842</v>
          </cell>
          <cell r="C162" t="str">
            <v>AUTOEQUIP  LAVAGGI S.P.A.</v>
          </cell>
          <cell r="D162" t="str">
            <v>00239090053 00239090053</v>
          </cell>
          <cell r="E162" t="str">
            <v>ZONA INDUSTRIALE</v>
          </cell>
          <cell r="F162">
            <v>14059</v>
          </cell>
          <cell r="G162" t="str">
            <v>VESIME</v>
          </cell>
          <cell r="H162" t="str">
            <v>AT</v>
          </cell>
          <cell r="I162" t="str">
            <v>ITALIA</v>
          </cell>
          <cell r="J162" t="str">
            <v>0144-8991</v>
          </cell>
        </row>
        <row r="163">
          <cell r="B163">
            <v>4784</v>
          </cell>
          <cell r="C163" t="str">
            <v>AUTOFFICINA  FERRARI DI  FERRARI PAOLO</v>
          </cell>
          <cell r="D163" t="str">
            <v>11898910150 FRRPND66S21F205E</v>
          </cell>
          <cell r="E163" t="str">
            <v>VIA MOTTA VISCONTI,  44/BIS</v>
          </cell>
          <cell r="F163">
            <v>27022</v>
          </cell>
          <cell r="G163" t="str">
            <v>CASORATE  PRIMO</v>
          </cell>
          <cell r="H163" t="str">
            <v>PV</v>
          </cell>
          <cell r="I163" t="str">
            <v>ITALIA</v>
          </cell>
          <cell r="J163" t="str">
            <v>02-90000016</v>
          </cell>
        </row>
        <row r="164">
          <cell r="B164">
            <v>6543</v>
          </cell>
          <cell r="C164" t="str">
            <v>AUTOFFICINA  LIMONTA S.R.L.</v>
          </cell>
          <cell r="D164" t="str">
            <v>03318220161 03318220161</v>
          </cell>
          <cell r="E164" t="str">
            <v>VIA MEUCCI, 9</v>
          </cell>
          <cell r="F164">
            <v>24035</v>
          </cell>
          <cell r="G164" t="str">
            <v>CURNO</v>
          </cell>
          <cell r="H164" t="str">
            <v>BG</v>
          </cell>
          <cell r="I164" t="str">
            <v>ITALIA</v>
          </cell>
          <cell r="J164" t="str">
            <v xml:space="preserve">035-611296 </v>
          </cell>
        </row>
        <row r="165">
          <cell r="B165">
            <v>3424</v>
          </cell>
          <cell r="C165" t="str">
            <v>AUTOGALLERY DI  GASCA GIORGIO</v>
          </cell>
          <cell r="D165" t="str">
            <v>09744920019 GSCGRG76R24G67 4H</v>
          </cell>
          <cell r="E165" t="str">
            <v>VIA VAL PELLICE, 120</v>
          </cell>
          <cell r="F165">
            <v>10060</v>
          </cell>
          <cell r="G165" t="str">
            <v>SAN SECONDO  DI PINEROLO</v>
          </cell>
          <cell r="H165" t="str">
            <v>TO</v>
          </cell>
          <cell r="I165" t="str">
            <v>ITALIA</v>
          </cell>
          <cell r="J165" t="str">
            <v xml:space="preserve">0121-502815 </v>
          </cell>
        </row>
        <row r="166">
          <cell r="B166">
            <v>5621</v>
          </cell>
          <cell r="C166" t="str">
            <v>AUTOLAVAGGI LINO  2 S.A.S. DI  GIORGINI LUCA</v>
          </cell>
          <cell r="D166" t="str">
            <v>08872740017 08872740017</v>
          </cell>
          <cell r="E166" t="str">
            <v>VIA DEBOUCHE', 52</v>
          </cell>
          <cell r="F166">
            <v>10042</v>
          </cell>
          <cell r="G166" t="str">
            <v>NICHELINO</v>
          </cell>
          <cell r="H166" t="str">
            <v>TO</v>
          </cell>
          <cell r="I166" t="str">
            <v>ITALIA</v>
          </cell>
          <cell r="J166" t="str">
            <v>335-7589970</v>
          </cell>
        </row>
        <row r="167">
          <cell r="B167">
            <v>4735</v>
          </cell>
          <cell r="C167" t="str">
            <v>AUTOLAVAGGIO  RIVA S.A.S. DI A. CANTISANI &amp; C.</v>
          </cell>
          <cell r="D167" t="str">
            <v>09236910965 09236910965</v>
          </cell>
          <cell r="E167" t="str">
            <v>VIA A. DA GIUSSANO, 73</v>
          </cell>
          <cell r="F167">
            <v>20027</v>
          </cell>
          <cell r="G167" t="str">
            <v>RESCALDINA</v>
          </cell>
          <cell r="H167" t="str">
            <v>MI</v>
          </cell>
          <cell r="I167" t="str">
            <v>ITALIA</v>
          </cell>
          <cell r="J167" t="str">
            <v>0331-324167</v>
          </cell>
        </row>
        <row r="168">
          <cell r="B168">
            <v>1738</v>
          </cell>
          <cell r="C168" t="str">
            <v>AUTOLAVAGGIO  SIMAR S.A.S. DI DE  FRANCO MARIELLA</v>
          </cell>
          <cell r="D168" t="str">
            <v>01844230035</v>
          </cell>
          <cell r="E168" t="str">
            <v>VIA NOVARA, 258/B</v>
          </cell>
          <cell r="F168">
            <v>28021</v>
          </cell>
          <cell r="G168" t="str">
            <v>BORGOMANERO</v>
          </cell>
          <cell r="H168" t="str">
            <v>NO</v>
          </cell>
          <cell r="I168" t="str">
            <v>ITALIA</v>
          </cell>
          <cell r="J168" t="str">
            <v>0322-843405</v>
          </cell>
        </row>
        <row r="169">
          <cell r="B169">
            <v>1849</v>
          </cell>
          <cell r="C169" t="str">
            <v>AUTOLAVAGGIO  VILLA ENRICO E  FEDERICO S.R.L.</v>
          </cell>
          <cell r="D169" t="str">
            <v>03706500968 03706500968</v>
          </cell>
          <cell r="E169" t="str">
            <v>VIALE BRIANZA, 71</v>
          </cell>
          <cell r="F169">
            <v>20841</v>
          </cell>
          <cell r="G169" t="str">
            <v>CARATE  BRIANZA</v>
          </cell>
          <cell r="H169" t="str">
            <v>MI</v>
          </cell>
          <cell r="I169" t="str">
            <v>ITALIA</v>
          </cell>
          <cell r="J169" t="str">
            <v>0362-902717</v>
          </cell>
        </row>
        <row r="170">
          <cell r="B170">
            <v>4069</v>
          </cell>
          <cell r="C170" t="str">
            <v>AUTOLAVAGGIO BUBBLE WASH</v>
          </cell>
          <cell r="D170" t="str">
            <v>06427030967 CCCMST65T67E514 J</v>
          </cell>
          <cell r="E170" t="str">
            <v>S.P. PER INVERUNO ANG.  VIA UMBRIA, 1</v>
          </cell>
          <cell r="F170">
            <v>20025</v>
          </cell>
          <cell r="G170" t="str">
            <v>LEGNANO</v>
          </cell>
          <cell r="H170" t="str">
            <v>MI</v>
          </cell>
          <cell r="I170" t="str">
            <v>ITALIA</v>
          </cell>
          <cell r="J170" t="str">
            <v xml:space="preserve">0331-401999 </v>
          </cell>
        </row>
        <row r="171">
          <cell r="B171">
            <v>9540</v>
          </cell>
          <cell r="C171" t="str">
            <v>AUTOLAVAGGIO CANTU'</v>
          </cell>
          <cell r="E171" t="str">
            <v>VIA MILANO, 52</v>
          </cell>
          <cell r="F171">
            <v>22063</v>
          </cell>
          <cell r="G171" t="str">
            <v>CANTU'</v>
          </cell>
          <cell r="H171" t="str">
            <v>CO</v>
          </cell>
          <cell r="I171" t="str">
            <v>ITALIA</v>
          </cell>
          <cell r="J171" t="str">
            <v>351-1484462</v>
          </cell>
        </row>
        <row r="172">
          <cell r="B172">
            <v>4546</v>
          </cell>
          <cell r="C172" t="str">
            <v>AUTOLAVAGGIO LE  ONDE DI MAURIZIO  BRERA</v>
          </cell>
          <cell r="D172" t="str">
            <v>00647170182 BRRMRZ56A11G388 B</v>
          </cell>
          <cell r="E172" t="str">
            <v>VIALE LODI, 59</v>
          </cell>
          <cell r="F172">
            <v>27100</v>
          </cell>
          <cell r="G172" t="str">
            <v>PAVIA</v>
          </cell>
          <cell r="H172" t="str">
            <v>PV</v>
          </cell>
          <cell r="I172" t="str">
            <v>ITALIA</v>
          </cell>
          <cell r="J172" t="str">
            <v>338-3816742</v>
          </cell>
        </row>
        <row r="173">
          <cell r="B173">
            <v>5114</v>
          </cell>
          <cell r="C173" t="str">
            <v>AUTOLAVAMI S.N.C.  DI MACCHI  MASSIMO &amp; C.</v>
          </cell>
          <cell r="D173" t="str">
            <v>01687230035</v>
          </cell>
          <cell r="E173" t="str">
            <v>VIA LIBERTA', 2/B</v>
          </cell>
          <cell r="F173">
            <v>28043</v>
          </cell>
          <cell r="G173" t="str">
            <v>BELLINZAGO  NOVARESE</v>
          </cell>
          <cell r="H173" t="str">
            <v>NO</v>
          </cell>
          <cell r="I173" t="str">
            <v>ITALIA</v>
          </cell>
          <cell r="J173" t="str">
            <v>393-9346931</v>
          </cell>
        </row>
        <row r="174">
          <cell r="B174">
            <v>6663</v>
          </cell>
          <cell r="C174" t="str">
            <v>AUTOMAC DI UGO  LOMBARDI</v>
          </cell>
          <cell r="D174" t="str">
            <v>03055940179 LMBGUO64M08B157 B</v>
          </cell>
          <cell r="E174" t="str">
            <v>VIA LIGURIA, 15</v>
          </cell>
          <cell r="F174">
            <v>25125</v>
          </cell>
          <cell r="G174" t="str">
            <v>BRESCIA</v>
          </cell>
          <cell r="H174" t="str">
            <v>BS</v>
          </cell>
          <cell r="I174" t="str">
            <v>ITALIA</v>
          </cell>
          <cell r="J174" t="str">
            <v>SSELLI</v>
          </cell>
        </row>
        <row r="175">
          <cell r="B175">
            <v>6762</v>
          </cell>
          <cell r="C175" t="str">
            <v>AUTOMAT S.R.L.</v>
          </cell>
          <cell r="D175" t="str">
            <v>03834190278 03834190278</v>
          </cell>
          <cell r="E175" t="str">
            <v>VIA G. VERDI, 44</v>
          </cell>
          <cell r="F175">
            <v>31052</v>
          </cell>
          <cell r="G175" t="str">
            <v>MASERADA SUL PIAVE</v>
          </cell>
          <cell r="H175" t="str">
            <v>TV</v>
          </cell>
          <cell r="I175" t="str">
            <v>ITALIA</v>
          </cell>
          <cell r="J175" t="str">
            <v xml:space="preserve">0422-1833615 </v>
          </cell>
        </row>
        <row r="176">
          <cell r="B176">
            <v>3998</v>
          </cell>
          <cell r="C176" t="str">
            <v>AUTOMATIC  EFFEELLE  SISTEMA CAFFE' S.R. L.</v>
          </cell>
          <cell r="D176" t="str">
            <v>10498250017 10498250017</v>
          </cell>
          <cell r="E176" t="str">
            <v>VIA SPALATO, 53</v>
          </cell>
          <cell r="F176">
            <v>10141</v>
          </cell>
          <cell r="G176" t="str">
            <v>TORINO</v>
          </cell>
          <cell r="H176" t="str">
            <v>TO</v>
          </cell>
          <cell r="I176" t="str">
            <v>ITALIA</v>
          </cell>
          <cell r="J176" t="str">
            <v>011-3833578</v>
          </cell>
        </row>
        <row r="177">
          <cell r="B177">
            <v>11</v>
          </cell>
          <cell r="C177" t="str">
            <v>AUTOMATIC  SERVICE 2000 S.A.S. DI FORNARI F. &amp; C.</v>
          </cell>
          <cell r="D177" t="str">
            <v>00796200129 00796200129</v>
          </cell>
          <cell r="E177" t="str">
            <v>VIA I MAGGIO, 8</v>
          </cell>
          <cell r="F177">
            <v>21040</v>
          </cell>
          <cell r="G177" t="str">
            <v>ORIGGIO</v>
          </cell>
          <cell r="H177" t="str">
            <v>VA</v>
          </cell>
          <cell r="I177" t="str">
            <v>ITALIA</v>
          </cell>
          <cell r="J177" t="str">
            <v>02-96731361</v>
          </cell>
        </row>
        <row r="178">
          <cell r="B178">
            <v>4905</v>
          </cell>
          <cell r="C178" t="str">
            <v>AUTOMATIC 24 DI  ANTONACCI  ANTONIO</v>
          </cell>
          <cell r="D178" t="str">
            <v>10883640012 NTNNNN76B02C627 N</v>
          </cell>
          <cell r="E178" t="str">
            <v>VIA G. PEROTTI, 37</v>
          </cell>
          <cell r="F178">
            <v>10023</v>
          </cell>
          <cell r="G178" t="str">
            <v>CHIERI</v>
          </cell>
          <cell r="H178" t="str">
            <v>TO</v>
          </cell>
          <cell r="I178" t="str">
            <v>ITALIA</v>
          </cell>
          <cell r="J178" t="str">
            <v>392-8618300</v>
          </cell>
        </row>
        <row r="179">
          <cell r="B179">
            <v>5220</v>
          </cell>
          <cell r="C179" t="str">
            <v>AUTOMATIC BREAK  DI BRIOLA CLAUDIO</v>
          </cell>
          <cell r="D179" t="str">
            <v>07674630012 BRLCLD55S17L219 M</v>
          </cell>
          <cell r="E179" t="str">
            <v>LUNGO PO ANTONELLI,  183</v>
          </cell>
          <cell r="F179">
            <v>10153</v>
          </cell>
          <cell r="G179" t="str">
            <v>TORINO</v>
          </cell>
          <cell r="H179" t="str">
            <v>TO</v>
          </cell>
          <cell r="I179" t="str">
            <v>ITALIA</v>
          </cell>
          <cell r="J179" t="str">
            <v>011-8197248</v>
          </cell>
        </row>
        <row r="180">
          <cell r="B180">
            <v>6435</v>
          </cell>
          <cell r="C180" t="str">
            <v>AUTOMATIC DRINK  S.N.C. DI SAMELE E  GIOVINAZZO</v>
          </cell>
          <cell r="D180" t="str">
            <v>03453070793 03453070793</v>
          </cell>
          <cell r="E180" t="str">
            <v>VIA CURTATONE, 15</v>
          </cell>
          <cell r="F180">
            <v>88046</v>
          </cell>
          <cell r="G180" t="str">
            <v>LAMEZIA TERME</v>
          </cell>
          <cell r="H180" t="str">
            <v>CZ</v>
          </cell>
          <cell r="I180" t="str">
            <v>ITALIA</v>
          </cell>
          <cell r="J180" t="str">
            <v>388-0549947</v>
          </cell>
        </row>
        <row r="181">
          <cell r="B181">
            <v>6890</v>
          </cell>
          <cell r="C181" t="str">
            <v>AUTOMATICA  SYSTEMS DI MERLO  ELISABETTA</v>
          </cell>
          <cell r="D181" t="str">
            <v>11660470011 MRLLBT92R59L219I</v>
          </cell>
          <cell r="E181" t="str">
            <v>VIA VETTA DELLA ROCCA, 3</v>
          </cell>
          <cell r="F181">
            <v>10061</v>
          </cell>
          <cell r="G181" t="str">
            <v>CAVOUR</v>
          </cell>
          <cell r="H181" t="str">
            <v>TO</v>
          </cell>
          <cell r="I181" t="str">
            <v>ITALIA</v>
          </cell>
          <cell r="J181" t="str">
            <v>324-6029828</v>
          </cell>
        </row>
        <row r="182">
          <cell r="B182">
            <v>4907</v>
          </cell>
          <cell r="C182" t="str">
            <v>AUTOMATICA DI  BRAGADIN  LUIGI</v>
          </cell>
          <cell r="D182" t="str">
            <v>10603930016 BRGLGU61A11L219 E</v>
          </cell>
          <cell r="E182" t="str">
            <v>VIA PRAMARTINO38/A</v>
          </cell>
          <cell r="F182">
            <v>10060</v>
          </cell>
          <cell r="G182" t="str">
            <v>SAN PIETRO VAL  LEMINA</v>
          </cell>
          <cell r="H182" t="str">
            <v>TO</v>
          </cell>
          <cell r="I182" t="str">
            <v>ITALIA</v>
          </cell>
          <cell r="J182" t="str">
            <v>324-6029828</v>
          </cell>
        </row>
        <row r="183">
          <cell r="B183">
            <v>5732</v>
          </cell>
          <cell r="C183" t="str">
            <v>AUTOMATICAFFE' S. R.L.</v>
          </cell>
          <cell r="D183" t="str">
            <v>00511250094 00511250094</v>
          </cell>
          <cell r="E183" t="str">
            <v>VIA NAZIONALE 46-54</v>
          </cell>
          <cell r="F183">
            <v>17043</v>
          </cell>
          <cell r="G183" t="str">
            <v>CARCARE</v>
          </cell>
          <cell r="H183" t="str">
            <v>SV</v>
          </cell>
          <cell r="I183" t="str">
            <v>ITALIA</v>
          </cell>
          <cell r="J183" t="str">
            <v>019-511202</v>
          </cell>
        </row>
        <row r="184">
          <cell r="B184">
            <v>2829</v>
          </cell>
          <cell r="C184" t="str">
            <v>AUTOMATIK DI  VITTORIO  BENEDETTI</v>
          </cell>
          <cell r="D184" t="str">
            <v>01824040503 BNDVTR68T18G702 B</v>
          </cell>
          <cell r="E184" t="str">
            <v>VIA PIETRO GORI, 10</v>
          </cell>
          <cell r="F184">
            <v>56038</v>
          </cell>
          <cell r="G184" t="str">
            <v>PONSACCO</v>
          </cell>
          <cell r="H184" t="str">
            <v>PI</v>
          </cell>
          <cell r="I184" t="str">
            <v>ITALIA</v>
          </cell>
          <cell r="J184" t="str">
            <v>338-5499080</v>
          </cell>
        </row>
        <row r="185">
          <cell r="B185">
            <v>3885</v>
          </cell>
          <cell r="C185" t="str">
            <v>AUTONOLEGGIO  AIRALE CLAUDIO</v>
          </cell>
          <cell r="D185" t="str">
            <v>05364960012 RLACLD61C01E635 H</v>
          </cell>
          <cell r="E185" t="str">
            <v>VIA TORINO, 1</v>
          </cell>
          <cell r="F185">
            <v>10080</v>
          </cell>
          <cell r="G185" t="str">
            <v>LOCANA</v>
          </cell>
          <cell r="H185" t="str">
            <v>TO</v>
          </cell>
          <cell r="I185" t="str">
            <v>ITALIA</v>
          </cell>
          <cell r="J185" t="str">
            <v>339-7536231</v>
          </cell>
        </row>
        <row r="186">
          <cell r="B186">
            <v>3827</v>
          </cell>
          <cell r="C186" t="str">
            <v>AUTORIPARAZIONI  MARTIGNONI  CORRADO</v>
          </cell>
          <cell r="D186" t="str">
            <v>02565510126 MRTCRD63C24B300 B</v>
          </cell>
          <cell r="E186" t="str">
            <v>VIA SAN ROCCO, 311</v>
          </cell>
          <cell r="F186">
            <v>21050</v>
          </cell>
          <cell r="G186" t="str">
            <v>CASTELSEPRIO</v>
          </cell>
          <cell r="H186" t="str">
            <v>VA</v>
          </cell>
          <cell r="I186" t="str">
            <v>ITALIA</v>
          </cell>
          <cell r="J186" t="str">
            <v>0331-820460</v>
          </cell>
        </row>
        <row r="187">
          <cell r="B187">
            <v>6374</v>
          </cell>
          <cell r="C187" t="str">
            <v>AUTOTURISMO  GIACHINO</v>
          </cell>
          <cell r="D187" t="str">
            <v>04737260010</v>
          </cell>
          <cell r="E187" t="str">
            <v>VIA GIORDANO BRUNO,  83</v>
          </cell>
          <cell r="F187">
            <v>10134</v>
          </cell>
          <cell r="G187" t="str">
            <v>TORINO</v>
          </cell>
          <cell r="H187" t="str">
            <v>TO</v>
          </cell>
          <cell r="I187" t="str">
            <v>ITALIA</v>
          </cell>
          <cell r="J187" t="str">
            <v>011-3194440</v>
          </cell>
        </row>
        <row r="188">
          <cell r="B188">
            <v>7806</v>
          </cell>
          <cell r="C188" t="str">
            <v>AVANTI SILVIA</v>
          </cell>
          <cell r="E188" t="str">
            <v>VIA POMPEO LITTA,18</v>
          </cell>
          <cell r="F188">
            <v>20045</v>
          </cell>
          <cell r="G188" t="str">
            <v>LAINATE</v>
          </cell>
          <cell r="H188" t="str">
            <v>MI</v>
          </cell>
          <cell r="I188" t="str">
            <v>ITALIA</v>
          </cell>
          <cell r="J188" t="str">
            <v>373-7329100</v>
          </cell>
        </row>
        <row r="189">
          <cell r="B189">
            <v>8793</v>
          </cell>
          <cell r="C189" t="str">
            <v>AVDUE SAGL</v>
          </cell>
          <cell r="E189" t="str">
            <v>VIA SERAFINO BALESTRA, 12</v>
          </cell>
          <cell r="F189">
            <v>6900</v>
          </cell>
          <cell r="G189" t="str">
            <v>LUGANO  -  SVIZZERA -</v>
          </cell>
          <cell r="H189" t="str">
            <v>AG</v>
          </cell>
          <cell r="I189" t="str">
            <v>SVIZZERA</v>
          </cell>
        </row>
        <row r="190">
          <cell r="B190">
            <v>6610</v>
          </cell>
          <cell r="C190" t="str">
            <v>AVENDA S.R.L.</v>
          </cell>
          <cell r="D190" t="str">
            <v>11585860015 11585860015</v>
          </cell>
          <cell r="E190" t="str">
            <v>VIA LAGRANGE, 10</v>
          </cell>
          <cell r="F190">
            <v>10123</v>
          </cell>
          <cell r="G190" t="str">
            <v>TORINO</v>
          </cell>
          <cell r="H190" t="str">
            <v>TO</v>
          </cell>
          <cell r="I190" t="str">
            <v>ITALIA</v>
          </cell>
          <cell r="J190" t="str">
            <v xml:space="preserve">011-0371220 </v>
          </cell>
        </row>
        <row r="191">
          <cell r="B191">
            <v>3005</v>
          </cell>
          <cell r="C191" t="str">
            <v>AZIENDA AGRICOLA  "LA BORETTAZ"</v>
          </cell>
          <cell r="D191" t="str">
            <v>00585310071 00585310071</v>
          </cell>
          <cell r="E191" t="str">
            <v>FRAZIONE BORETTAZ, 4</v>
          </cell>
          <cell r="F191">
            <v>11020</v>
          </cell>
          <cell r="G191" t="str">
            <v>GRESSAN</v>
          </cell>
          <cell r="H191" t="str">
            <v>AO</v>
          </cell>
          <cell r="I191" t="str">
            <v>ITALIA</v>
          </cell>
          <cell r="J191" t="str">
            <v xml:space="preserve">0165-250473 </v>
          </cell>
        </row>
        <row r="192">
          <cell r="B192">
            <v>6911</v>
          </cell>
          <cell r="C192" t="str">
            <v>AZIENDA AGRICOLA  BERTA GIUSEPPE</v>
          </cell>
          <cell r="D192" t="str">
            <v>07113510015 BRTGPP59E28D208 E</v>
          </cell>
          <cell r="E192" t="str">
            <v>VIA PERTUSIO, 41</v>
          </cell>
          <cell r="F192">
            <v>10087</v>
          </cell>
          <cell r="G192" t="str">
            <v>VALPERGA</v>
          </cell>
          <cell r="H192" t="str">
            <v>TO</v>
          </cell>
          <cell r="I192" t="str">
            <v>ITALIA</v>
          </cell>
          <cell r="J192" t="str">
            <v>333-2244019</v>
          </cell>
        </row>
        <row r="193">
          <cell r="B193">
            <v>6424</v>
          </cell>
          <cell r="C193" t="str">
            <v>AZIENDA AGRICOLA  BERTA ROBERTO</v>
          </cell>
          <cell r="D193" t="str">
            <v>03619000015 BRTRRT57P20I703D</v>
          </cell>
          <cell r="E193" t="str">
            <v>VIA GRIBAUDIA, 52/B</v>
          </cell>
          <cell r="F193">
            <v>10036</v>
          </cell>
          <cell r="G193" t="str">
            <v>SETTIMO T.SE</v>
          </cell>
          <cell r="H193" t="str">
            <v>TO</v>
          </cell>
          <cell r="I193" t="str">
            <v>ITALIA</v>
          </cell>
          <cell r="J193" t="str">
            <v xml:space="preserve">011-8950032 </v>
          </cell>
        </row>
        <row r="194">
          <cell r="B194">
            <v>7133</v>
          </cell>
          <cell r="C194" t="str">
            <v>AZIENDA AGRICOLA  IL GIRASOLE DI  DELAURENTI DARIO</v>
          </cell>
          <cell r="D194" t="str">
            <v>09866670012 DLRDRA80B08E379 K</v>
          </cell>
          <cell r="E194" t="str">
            <v>STRADA DEL VICINALE, 3</v>
          </cell>
          <cell r="F194">
            <v>10080</v>
          </cell>
          <cell r="G194" t="str">
            <v>CICONIO</v>
          </cell>
          <cell r="H194" t="str">
            <v>TO</v>
          </cell>
          <cell r="I194" t="str">
            <v>ITALIA</v>
          </cell>
          <cell r="J194" t="str">
            <v>347-4702301</v>
          </cell>
        </row>
        <row r="195">
          <cell r="B195">
            <v>4803</v>
          </cell>
          <cell r="C195" t="str">
            <v>AZIENDA AGRICOLA MAURI PASQUALE &amp; FIGLI</v>
          </cell>
          <cell r="D195" t="str">
            <v>02016950137 02016950137</v>
          </cell>
          <cell r="E195" t="str">
            <v>VIA VESPUCCI, 6</v>
          </cell>
          <cell r="F195">
            <v>22046</v>
          </cell>
          <cell r="G195" t="str">
            <v>MERONE</v>
          </cell>
          <cell r="H195" t="str">
            <v>CO</v>
          </cell>
          <cell r="I195" t="str">
            <v>ITALIA</v>
          </cell>
          <cell r="J195" t="str">
            <v>031-651212</v>
          </cell>
        </row>
        <row r="196">
          <cell r="B196">
            <v>6429</v>
          </cell>
          <cell r="C196" t="str">
            <v>AZZARA' ANGELA</v>
          </cell>
          <cell r="D196" t="str">
            <v>11651070010 ZZRNGL80M63F112 A</v>
          </cell>
          <cell r="E196" t="str">
            <v>C.SO GROSSETO, 301/A</v>
          </cell>
          <cell r="F196">
            <v>10151</v>
          </cell>
          <cell r="G196" t="str">
            <v>TORINO</v>
          </cell>
          <cell r="H196" t="str">
            <v>TO</v>
          </cell>
          <cell r="I196" t="str">
            <v>ITALIA</v>
          </cell>
          <cell r="J196" t="str">
            <v>347-0691929</v>
          </cell>
        </row>
        <row r="197">
          <cell r="B197">
            <v>4336</v>
          </cell>
          <cell r="C197" t="str">
            <v>B &amp; B FIERA DI  AIELLO DANIELA</v>
          </cell>
          <cell r="D197" t="str">
            <v>06610830967 LLADNL66C62D086 K</v>
          </cell>
          <cell r="E197" t="str">
            <v>VIA SEMPIONE, 231</v>
          </cell>
          <cell r="F197">
            <v>20016</v>
          </cell>
          <cell r="G197" t="str">
            <v>PERO</v>
          </cell>
          <cell r="H197" t="str">
            <v>MI</v>
          </cell>
          <cell r="I197" t="str">
            <v>ITALIA</v>
          </cell>
          <cell r="J197" t="str">
            <v xml:space="preserve">02-38101272 </v>
          </cell>
        </row>
        <row r="198">
          <cell r="B198">
            <v>4406</v>
          </cell>
          <cell r="C198" t="str">
            <v>B &amp; B S.R.L.</v>
          </cell>
          <cell r="D198" t="str">
            <v>07974260965 07974260965</v>
          </cell>
          <cell r="E198" t="str">
            <v>VIA MONTECASSINO, 10</v>
          </cell>
          <cell r="F198">
            <v>20021</v>
          </cell>
          <cell r="G198" t="str">
            <v>BARANZATE</v>
          </cell>
          <cell r="H198" t="str">
            <v>MI</v>
          </cell>
          <cell r="I198" t="str">
            <v>ITALIA</v>
          </cell>
          <cell r="J198" t="str">
            <v>329-6918223</v>
          </cell>
        </row>
        <row r="199">
          <cell r="B199">
            <v>7503</v>
          </cell>
          <cell r="C199" t="str">
            <v>B &amp; B S.R.L.</v>
          </cell>
          <cell r="D199" t="str">
            <v>09844040155 09844040155</v>
          </cell>
          <cell r="E199" t="str">
            <v>VIA RONCHI, 39</v>
          </cell>
          <cell r="F199">
            <v>20134</v>
          </cell>
          <cell r="G199" t="str">
            <v>MILANO</v>
          </cell>
          <cell r="H199" t="str">
            <v>MI</v>
          </cell>
          <cell r="I199" t="str">
            <v>ITALIA</v>
          </cell>
          <cell r="J199" t="str">
            <v>334-7670439</v>
          </cell>
        </row>
        <row r="200">
          <cell r="B200">
            <v>6474</v>
          </cell>
          <cell r="C200" t="str">
            <v>B. E B. S.N.C. DI  FORMENTIN E C.</v>
          </cell>
          <cell r="D200" t="str">
            <v>01422960284</v>
          </cell>
          <cell r="E200" t="str">
            <v>VIA VILLANOVA, 35/H</v>
          </cell>
          <cell r="F200">
            <v>35010</v>
          </cell>
          <cell r="G200" t="str">
            <v>TREBASELEGHE</v>
          </cell>
          <cell r="H200" t="str">
            <v>PD</v>
          </cell>
          <cell r="I200" t="str">
            <v>ITALIA</v>
          </cell>
          <cell r="J200" t="str">
            <v xml:space="preserve">049-9387049 </v>
          </cell>
        </row>
        <row r="201">
          <cell r="B201">
            <v>3974</v>
          </cell>
          <cell r="C201" t="str">
            <v>B.B SERVICE DI  BIANCHI BRUNO</v>
          </cell>
          <cell r="D201" t="str">
            <v>07373500961 BNCBRN68L07C933 N</v>
          </cell>
          <cell r="E201" t="str">
            <v>VIA TOMASO GROSSI, 15</v>
          </cell>
          <cell r="F201">
            <v>22100</v>
          </cell>
          <cell r="G201" t="str">
            <v>COMO</v>
          </cell>
          <cell r="H201" t="str">
            <v>CO</v>
          </cell>
          <cell r="I201" t="str">
            <v>ITALIA</v>
          </cell>
          <cell r="J201" t="str">
            <v>335-7238869</v>
          </cell>
        </row>
        <row r="202">
          <cell r="B202">
            <v>7039</v>
          </cell>
          <cell r="C202" t="str">
            <v>B.B.M. DI BALDELLI  AURO &amp; C. S.N.C.</v>
          </cell>
          <cell r="D202" t="str">
            <v>01118470416 01118470416</v>
          </cell>
          <cell r="E202" t="str">
            <v>VIA DEI LAGHI, 1/A</v>
          </cell>
          <cell r="F202">
            <v>61036</v>
          </cell>
          <cell r="G202" t="str">
            <v>COLLI AL  METAURO</v>
          </cell>
          <cell r="H202" t="str">
            <v>PU</v>
          </cell>
          <cell r="I202" t="str">
            <v>ITALIA</v>
          </cell>
          <cell r="J202" t="str">
            <v>345-1351806</v>
          </cell>
        </row>
        <row r="203">
          <cell r="B203">
            <v>6115</v>
          </cell>
          <cell r="C203" t="str">
            <v>B.E. S.R.L.</v>
          </cell>
          <cell r="D203" t="str">
            <v>01380740082 01380740082</v>
          </cell>
          <cell r="E203" t="str">
            <v>VIA ARGINE DESTRO, 75</v>
          </cell>
          <cell r="F203">
            <v>18100</v>
          </cell>
          <cell r="G203" t="str">
            <v>IMPERIA</v>
          </cell>
          <cell r="H203" t="str">
            <v>IM</v>
          </cell>
          <cell r="I203" t="str">
            <v>ITALIA</v>
          </cell>
          <cell r="J203" t="str">
            <v>0183-294493</v>
          </cell>
        </row>
        <row r="204">
          <cell r="B204">
            <v>6064</v>
          </cell>
          <cell r="C204" t="str">
            <v>B.G.K. &amp; PARTNERS  DI DE MEO CARMELA</v>
          </cell>
          <cell r="D204" t="str">
            <v>08080750014 DMECML64D51G131 V</v>
          </cell>
          <cell r="E204" t="str">
            <v>VIA ENRICO TOTI, 18</v>
          </cell>
          <cell r="F204">
            <v>10100</v>
          </cell>
          <cell r="G204" t="str">
            <v>SETTIMO  TORINESE</v>
          </cell>
          <cell r="H204" t="str">
            <v>TO</v>
          </cell>
          <cell r="I204" t="str">
            <v>ITALIA</v>
          </cell>
          <cell r="J204" t="str">
            <v>011-8950967</v>
          </cell>
        </row>
        <row r="205">
          <cell r="B205">
            <v>3971</v>
          </cell>
          <cell r="C205" t="str">
            <v>B.M.G. DI  MARCHINI MOIRA</v>
          </cell>
          <cell r="D205" t="str">
            <v>01220680456</v>
          </cell>
          <cell r="E205" t="str">
            <v>VIALE MATTEOTTI, 2/A</v>
          </cell>
          <cell r="F205">
            <v>13900</v>
          </cell>
          <cell r="G205" t="str">
            <v>BIELLA</v>
          </cell>
          <cell r="H205" t="str">
            <v>BI</v>
          </cell>
          <cell r="I205" t="str">
            <v>ITALIA</v>
          </cell>
          <cell r="J205" t="str">
            <v>348-2200826</v>
          </cell>
        </row>
        <row r="206">
          <cell r="B206">
            <v>6871</v>
          </cell>
          <cell r="C206" t="str">
            <v>B.M.P.M. DI  GIANLUCA CHINNICI</v>
          </cell>
          <cell r="D206" t="str">
            <v>10655040961 CHNGLC92C02G273 Y</v>
          </cell>
          <cell r="E206" t="str">
            <v>VIA GIUSEPPE VERDI, 89</v>
          </cell>
          <cell r="F206">
            <v>20812</v>
          </cell>
          <cell r="G206" t="str">
            <v>LIMBIATE</v>
          </cell>
          <cell r="H206" t="str">
            <v>MB</v>
          </cell>
          <cell r="I206" t="str">
            <v>ITALIA</v>
          </cell>
          <cell r="J206" t="str">
            <v>338-2333399</v>
          </cell>
        </row>
        <row r="207">
          <cell r="B207">
            <v>6776</v>
          </cell>
          <cell r="C207" t="str">
            <v>B.N.G. FOOD &amp;  BEVERAGE S.R.L.  UNIPERSONALE</v>
          </cell>
          <cell r="D207" t="str">
            <v>02572050991 02572050991</v>
          </cell>
          <cell r="E207" t="str">
            <v>C.SO F.M. PERRONE, 9N/19V</v>
          </cell>
          <cell r="F207">
            <v>16152</v>
          </cell>
          <cell r="G207" t="str">
            <v>GENOVA</v>
          </cell>
          <cell r="H207" t="str">
            <v>GE</v>
          </cell>
          <cell r="I207" t="str">
            <v>ITALIA</v>
          </cell>
          <cell r="J207" t="str">
            <v>340-6536178</v>
          </cell>
        </row>
        <row r="208">
          <cell r="B208">
            <v>6760</v>
          </cell>
          <cell r="C208" t="str">
            <v>BACHIS PIERA</v>
          </cell>
          <cell r="D208" t="str">
            <v>10224600964 BCHPRI71H58F205 C</v>
          </cell>
          <cell r="E208" t="str">
            <v>VIA PAGANINI, 27</v>
          </cell>
          <cell r="F208">
            <v>20011</v>
          </cell>
          <cell r="G208" t="str">
            <v>CORBETTA</v>
          </cell>
          <cell r="H208" t="str">
            <v>MI</v>
          </cell>
          <cell r="I208" t="str">
            <v>ITALIA</v>
          </cell>
        </row>
        <row r="209">
          <cell r="B209">
            <v>7391</v>
          </cell>
          <cell r="C209" t="str">
            <v>BAGGI CRISTINA</v>
          </cell>
          <cell r="D209" t="str">
            <v>BGGCST75A60B988 D</v>
          </cell>
          <cell r="E209" t="str">
            <v>VIA CASCINA FREGHINA 1</v>
          </cell>
          <cell r="F209">
            <v>27021</v>
          </cell>
          <cell r="G209" t="str">
            <v>BEREGUARDO</v>
          </cell>
          <cell r="H209" t="str">
            <v>PV</v>
          </cell>
          <cell r="I209" t="str">
            <v>ITALIA</v>
          </cell>
          <cell r="J209" t="str">
            <v>349-2682116</v>
          </cell>
        </row>
        <row r="210">
          <cell r="B210">
            <v>4513</v>
          </cell>
          <cell r="C210" t="str">
            <v>BALDUCCI DANIELE</v>
          </cell>
          <cell r="D210" t="str">
            <v>BLDDNL81L01A010 B</v>
          </cell>
          <cell r="E210" t="str">
            <v>VIA BERGAMO, 23</v>
          </cell>
          <cell r="F210">
            <v>20020</v>
          </cell>
          <cell r="G210" t="str">
            <v>LAINATE</v>
          </cell>
          <cell r="H210" t="str">
            <v>MI</v>
          </cell>
          <cell r="I210" t="str">
            <v>ITALIA</v>
          </cell>
          <cell r="J210" t="str">
            <v>333-5036890</v>
          </cell>
        </row>
        <row r="211">
          <cell r="B211">
            <v>1891</v>
          </cell>
          <cell r="C211" t="str">
            <v>BALENO DI AIROLDI  MASSIMILIANO</v>
          </cell>
          <cell r="D211" t="str">
            <v>02307530127 RLDMSM74L08C139 C</v>
          </cell>
          <cell r="E211" t="str">
            <v>VIA PO, 12</v>
          </cell>
          <cell r="F211">
            <v>21050</v>
          </cell>
          <cell r="G211" t="str">
            <v>MARNATE</v>
          </cell>
          <cell r="H211" t="str">
            <v>VA</v>
          </cell>
          <cell r="I211" t="str">
            <v>ITALIA</v>
          </cell>
          <cell r="J211" t="str">
            <v>338-9862672</v>
          </cell>
        </row>
        <row r="212">
          <cell r="B212">
            <v>4956</v>
          </cell>
          <cell r="C212" t="str">
            <v>BALLARINI DAVIDE</v>
          </cell>
          <cell r="D212" t="str">
            <v>04268930239 BLLDVD71B09L781 C</v>
          </cell>
          <cell r="E212" t="str">
            <v>VIA SANTA MARIA  ANTICA, 2</v>
          </cell>
          <cell r="F212">
            <v>37121</v>
          </cell>
          <cell r="G212" t="str">
            <v>VERONA</v>
          </cell>
          <cell r="H212" t="str">
            <v>VR</v>
          </cell>
          <cell r="I212" t="str">
            <v>ITALIA</v>
          </cell>
          <cell r="J212" t="str">
            <v>348-1526850</v>
          </cell>
        </row>
        <row r="213">
          <cell r="B213">
            <v>6944</v>
          </cell>
          <cell r="C213" t="str">
            <v>BALUCI DIEGO</v>
          </cell>
          <cell r="D213" t="str">
            <v>BLCDGI48P22F158U</v>
          </cell>
          <cell r="E213" t="str">
            <v>VIA LA FARINA 37</v>
          </cell>
          <cell r="F213">
            <v>98123</v>
          </cell>
          <cell r="G213" t="str">
            <v>MESSINA</v>
          </cell>
          <cell r="H213" t="str">
            <v>ME</v>
          </cell>
          <cell r="I213" t="str">
            <v>ITALIA</v>
          </cell>
          <cell r="J213" t="str">
            <v>347-1065348</v>
          </cell>
        </row>
        <row r="214">
          <cell r="B214">
            <v>4716</v>
          </cell>
          <cell r="C214" t="str">
            <v>BAMAR ITALIA S.R.L.</v>
          </cell>
          <cell r="D214" t="str">
            <v>05395740656 05395740656</v>
          </cell>
          <cell r="E214" t="str">
            <v>VIA TIBERIO CLAUDIO  FELICE, 46</v>
          </cell>
          <cell r="F214">
            <v>84131</v>
          </cell>
          <cell r="G214" t="str">
            <v>SALERNO</v>
          </cell>
          <cell r="H214" t="str">
            <v>SA</v>
          </cell>
          <cell r="I214" t="str">
            <v>ITALIA</v>
          </cell>
          <cell r="J214" t="str">
            <v>011-0749385</v>
          </cell>
        </row>
        <row r="215">
          <cell r="B215">
            <v>5837</v>
          </cell>
          <cell r="C215" t="str">
            <v>BAMAR S.R.L.</v>
          </cell>
          <cell r="D215" t="str">
            <v>02123050656 02123050656</v>
          </cell>
          <cell r="E215" t="str">
            <v>VIA SCAVATA CASE  ROSSE, 30</v>
          </cell>
          <cell r="F215">
            <v>84094</v>
          </cell>
          <cell r="G215" t="str">
            <v>FUORNI</v>
          </cell>
          <cell r="H215" t="str">
            <v>SA</v>
          </cell>
          <cell r="I215" t="str">
            <v>ITALIA</v>
          </cell>
          <cell r="J215" t="str">
            <v>089-384664</v>
          </cell>
        </row>
        <row r="216">
          <cell r="B216">
            <v>2936</v>
          </cell>
          <cell r="C216" t="str">
            <v>BANCA POPOLARE  DI SONDRIO</v>
          </cell>
          <cell r="D216" t="str">
            <v>379098</v>
          </cell>
          <cell r="E216" t="str">
            <v>VIA MAGGIO, 1</v>
          </cell>
          <cell r="F216">
            <v>6901</v>
          </cell>
          <cell r="G216" t="str">
            <v>LUGANO</v>
          </cell>
          <cell r="I216" t="str">
            <v>SVIZZERA</v>
          </cell>
          <cell r="J216" t="str">
            <v>0041- 588553146</v>
          </cell>
        </row>
        <row r="217">
          <cell r="B217">
            <v>6950</v>
          </cell>
          <cell r="C217" t="str">
            <v>BANCA PRIVATA  LEASING S.P.A.</v>
          </cell>
          <cell r="D217" t="str">
            <v>01307450351 01307450351</v>
          </cell>
          <cell r="E217" t="str">
            <v>VIA P.CASTALDI DA  FELTRE, 1/A</v>
          </cell>
          <cell r="F217">
            <v>42100</v>
          </cell>
          <cell r="G217" t="str">
            <v>SAN MAURIZIO  DI REGGIO  EMILIA</v>
          </cell>
          <cell r="H217" t="str">
            <v>RE</v>
          </cell>
          <cell r="I217" t="str">
            <v>ITALIA</v>
          </cell>
          <cell r="J217" t="str">
            <v xml:space="preserve">02-76028176 </v>
          </cell>
        </row>
        <row r="218">
          <cell r="B218">
            <v>7525</v>
          </cell>
          <cell r="C218" t="str">
            <v>BANO SAMANTHA</v>
          </cell>
          <cell r="D218" t="str">
            <v>BNASNT79B61H509 O</v>
          </cell>
          <cell r="E218" t="str">
            <v>VIA SAN FRANCESCO D' ASSISI 37</v>
          </cell>
          <cell r="F218">
            <v>24050</v>
          </cell>
          <cell r="G218" t="str">
            <v>COVO</v>
          </cell>
          <cell r="H218" t="str">
            <v>BG</v>
          </cell>
          <cell r="I218" t="str">
            <v>ITALIA</v>
          </cell>
          <cell r="J218" t="str">
            <v>363-938589</v>
          </cell>
        </row>
        <row r="219">
          <cell r="B219">
            <v>4512</v>
          </cell>
          <cell r="C219" t="str">
            <v>BAR &amp; BAR SWING  SERVICE S.N.C.</v>
          </cell>
          <cell r="D219" t="str">
            <v>03259790545 03259790545</v>
          </cell>
          <cell r="E219" t="str">
            <v>VIA SICILIA, 34</v>
          </cell>
          <cell r="F219">
            <v>6434</v>
          </cell>
          <cell r="G219" t="str">
            <v>FOLIGNO</v>
          </cell>
          <cell r="H219" t="str">
            <v>PG</v>
          </cell>
          <cell r="I219" t="str">
            <v>ITALIA</v>
          </cell>
          <cell r="J219" t="str">
            <v>392-4275657</v>
          </cell>
        </row>
        <row r="220">
          <cell r="B220">
            <v>4362</v>
          </cell>
          <cell r="C220" t="str">
            <v>BAR A. GRAMSCI DI  MOSCIARELLO  DOMENICO</v>
          </cell>
          <cell r="D220" t="str">
            <v>08276960013 MSCDNC55R21A57 7B</v>
          </cell>
          <cell r="E220" t="str">
            <v>VIA E. ALBERTON, 10/A</v>
          </cell>
          <cell r="F220">
            <v>10015</v>
          </cell>
          <cell r="G220" t="str">
            <v>IVREA</v>
          </cell>
          <cell r="H220" t="str">
            <v>TO</v>
          </cell>
          <cell r="I220" t="str">
            <v>ITALIA</v>
          </cell>
          <cell r="J220" t="str">
            <v>333-1767637</v>
          </cell>
        </row>
        <row r="221">
          <cell r="B221">
            <v>4550</v>
          </cell>
          <cell r="C221" t="str">
            <v>BAR BIANCO DI  MADONNA RIPA  MAURIZIO</v>
          </cell>
          <cell r="D221" t="str">
            <v>02055690032 MDNMRZ62C25B04 1Z</v>
          </cell>
          <cell r="E221" t="str">
            <v>VIALE ZOPPIS, 10</v>
          </cell>
          <cell r="F221">
            <v>28021</v>
          </cell>
          <cell r="G221" t="str">
            <v>BORGOMANERO</v>
          </cell>
          <cell r="H221" t="str">
            <v>NO</v>
          </cell>
          <cell r="I221" t="str">
            <v>ITALIA</v>
          </cell>
          <cell r="J221" t="str">
            <v>340-8377824</v>
          </cell>
        </row>
        <row r="222">
          <cell r="B222">
            <v>2795</v>
          </cell>
          <cell r="C222" t="str">
            <v>BAR E CAFFE' DI  ANGELICO  DOMENICO</v>
          </cell>
          <cell r="D222" t="str">
            <v>03994420960 NGLDNC66M18F205 H</v>
          </cell>
          <cell r="E222" t="str">
            <v>VIA PONCHIELLI, 26</v>
          </cell>
          <cell r="F222">
            <v>20032</v>
          </cell>
          <cell r="G222" t="str">
            <v>CORMANO</v>
          </cell>
          <cell r="H222" t="str">
            <v>MI</v>
          </cell>
          <cell r="I222" t="str">
            <v>ITALIA</v>
          </cell>
          <cell r="J222" t="str">
            <v>327-3272179</v>
          </cell>
        </row>
        <row r="223">
          <cell r="B223">
            <v>7956</v>
          </cell>
          <cell r="C223" t="str">
            <v>BAR L'ANGOLO DELLA MUSICA DI ALFONSO FABIO</v>
          </cell>
          <cell r="E223" t="str">
            <v>VIA CAROBBIO, 7</v>
          </cell>
          <cell r="F223">
            <v>27025</v>
          </cell>
          <cell r="G223" t="str">
            <v>GAMBOLO'</v>
          </cell>
          <cell r="H223" t="str">
            <v>PV</v>
          </cell>
          <cell r="I223" t="str">
            <v>ITALIA</v>
          </cell>
          <cell r="J223" t="str">
            <v>346-02309688</v>
          </cell>
        </row>
        <row r="224">
          <cell r="B224">
            <v>3052</v>
          </cell>
          <cell r="C224" t="str">
            <v>BAR RISTORANTE  CATERING DI  GJANA BUJAR</v>
          </cell>
          <cell r="D224" t="str">
            <v>09594630015 GJNBJR74B16Z100 Q</v>
          </cell>
          <cell r="E224" t="str">
            <v>VIA VILLAFRANCA, 34</v>
          </cell>
          <cell r="F224">
            <v>10024</v>
          </cell>
          <cell r="G224" t="str">
            <v>MONCALIERI</v>
          </cell>
          <cell r="H224" t="str">
            <v>TO</v>
          </cell>
          <cell r="I224" t="str">
            <v>ITALIA</v>
          </cell>
          <cell r="J224" t="str">
            <v>328-2043380</v>
          </cell>
        </row>
        <row r="225">
          <cell r="B225">
            <v>4725</v>
          </cell>
          <cell r="C225" t="str">
            <v>BAR RISTORANTE CATERING S.N.C.</v>
          </cell>
          <cell r="D225" t="str">
            <v>11390230016 11390230016</v>
          </cell>
          <cell r="E225" t="str">
            <v>VIA JUVARRA, 14</v>
          </cell>
          <cell r="F225">
            <v>10122</v>
          </cell>
          <cell r="G225" t="str">
            <v>TORINO</v>
          </cell>
          <cell r="H225" t="str">
            <v>TO</v>
          </cell>
          <cell r="I225" t="str">
            <v>ITALIA</v>
          </cell>
          <cell r="J225" t="str">
            <v>335-8153941</v>
          </cell>
        </row>
        <row r="226">
          <cell r="B226">
            <v>10120</v>
          </cell>
          <cell r="C226" t="str">
            <v>BAR SPORT BISTROT SNC DI FERRARO VILMAR E BEVILACQUA NADIA</v>
          </cell>
          <cell r="E226" t="str">
            <v>VIA PATRIOTI, 9</v>
          </cell>
          <cell r="F226">
            <v>21054</v>
          </cell>
          <cell r="G226" t="str">
            <v>FAGNANO OLONA</v>
          </cell>
          <cell r="H226" t="str">
            <v>VA</v>
          </cell>
          <cell r="I226" t="str">
            <v>ITALIA</v>
          </cell>
          <cell r="J226" t="str">
            <v>0331-618674</v>
          </cell>
        </row>
        <row r="227">
          <cell r="B227">
            <v>4558</v>
          </cell>
          <cell r="C227" t="str">
            <v>BAR TABACCHERIA FLAMANT D'OR</v>
          </cell>
          <cell r="D227" t="str">
            <v>03241060122 PLLGRG77P01L319B</v>
          </cell>
          <cell r="E227" t="str">
            <v>VIA LAVAREDO, 11</v>
          </cell>
          <cell r="F227">
            <v>21054</v>
          </cell>
          <cell r="G227" t="str">
            <v>FAGNANO OLONA</v>
          </cell>
          <cell r="H227" t="str">
            <v>VA</v>
          </cell>
          <cell r="I227" t="str">
            <v>ITALIA</v>
          </cell>
          <cell r="J227" t="str">
            <v>0331-361703</v>
          </cell>
        </row>
        <row r="228">
          <cell r="B228">
            <v>7043</v>
          </cell>
          <cell r="C228" t="str">
            <v>BAR TAVOLA  FREDDA AMORUSO  SILVIO</v>
          </cell>
          <cell r="D228" t="str">
            <v>08982210968</v>
          </cell>
          <cell r="E228" t="str">
            <v>VIA B. VERRO, 62</v>
          </cell>
          <cell r="F228">
            <v>20141</v>
          </cell>
          <cell r="G228" t="str">
            <v>MILANO</v>
          </cell>
          <cell r="H228" t="str">
            <v>MI</v>
          </cell>
          <cell r="I228" t="str">
            <v>ITALIA</v>
          </cell>
          <cell r="J228" t="str">
            <v>338-9369561</v>
          </cell>
        </row>
        <row r="229">
          <cell r="B229">
            <v>2168</v>
          </cell>
          <cell r="C229" t="str">
            <v>BARANZELLI NATUR  S.R.L.</v>
          </cell>
          <cell r="D229" t="str">
            <v>00434360038 00434360038</v>
          </cell>
          <cell r="E229" t="str">
            <v>VIA NOVARA, 350</v>
          </cell>
          <cell r="F229">
            <v>28078</v>
          </cell>
          <cell r="G229" t="str">
            <v>ROMAGNANO  SESIA</v>
          </cell>
          <cell r="H229" t="str">
            <v>NO</v>
          </cell>
          <cell r="I229" t="str">
            <v>ITALIA</v>
          </cell>
          <cell r="J229" t="str">
            <v>335-5347197</v>
          </cell>
        </row>
        <row r="230">
          <cell r="B230">
            <v>4908</v>
          </cell>
          <cell r="C230" t="str">
            <v>BARAONDA CAFE' S. N.C. DI TIOZZO &amp; C.</v>
          </cell>
          <cell r="D230" t="str">
            <v>08697020017 08697020017</v>
          </cell>
          <cell r="E230" t="str">
            <v>PIAZZA CARLO ALBERTO,  6</v>
          </cell>
          <cell r="F230">
            <v>10041</v>
          </cell>
          <cell r="G230" t="str">
            <v>CARIGNANO</v>
          </cell>
          <cell r="H230" t="str">
            <v>TO</v>
          </cell>
          <cell r="I230" t="str">
            <v>ITALIA</v>
          </cell>
          <cell r="J230" t="str">
            <v>328-3092741</v>
          </cell>
        </row>
        <row r="231">
          <cell r="B231">
            <v>6989</v>
          </cell>
          <cell r="C231" t="str">
            <v>BARBERIS ERICA</v>
          </cell>
          <cell r="D231" t="str">
            <v>BRBRCE76M53D938 M</v>
          </cell>
          <cell r="E231" t="str">
            <v>VIA POLLE, 62</v>
          </cell>
          <cell r="F231">
            <v>13836</v>
          </cell>
          <cell r="G231" t="str">
            <v>COSSATO</v>
          </cell>
          <cell r="H231" t="str">
            <v>BI</v>
          </cell>
          <cell r="I231" t="str">
            <v>ITALIA</v>
          </cell>
          <cell r="J231" t="str">
            <v>339-6376757</v>
          </cell>
        </row>
        <row r="232">
          <cell r="B232">
            <v>7274</v>
          </cell>
          <cell r="C232" t="str">
            <v>BARBISONI  ROSSELLA</v>
          </cell>
          <cell r="D232" t="str">
            <v>BRBRSL92B48G149 E</v>
          </cell>
          <cell r="E232" t="str">
            <v>VIA CAVAGNE 12</v>
          </cell>
          <cell r="F232">
            <v>26029</v>
          </cell>
          <cell r="G232" t="str">
            <v>SONCINO</v>
          </cell>
          <cell r="H232" t="str">
            <v>CR</v>
          </cell>
          <cell r="I232" t="str">
            <v>ITALIA</v>
          </cell>
          <cell r="J232" t="str">
            <v>349-7009968</v>
          </cell>
        </row>
        <row r="233">
          <cell r="B233">
            <v>4700</v>
          </cell>
          <cell r="C233" t="str">
            <v>BARCELLONA  GIANLUCA</v>
          </cell>
          <cell r="D233" t="str">
            <v>02468860065 BRCGLC82E26B885 S</v>
          </cell>
          <cell r="E233" t="str">
            <v>VIA URBANO RATTAZZI,  29/31</v>
          </cell>
          <cell r="F233">
            <v>15025</v>
          </cell>
          <cell r="G233" t="str">
            <v>MORANO SUL PO</v>
          </cell>
          <cell r="H233" t="str">
            <v>AL</v>
          </cell>
          <cell r="I233" t="str">
            <v>ITALIA</v>
          </cell>
          <cell r="J233" t="str">
            <v>0142-671059</v>
          </cell>
        </row>
        <row r="234">
          <cell r="B234">
            <v>7005</v>
          </cell>
          <cell r="C234" t="str">
            <v>BARONI DARIO</v>
          </cell>
          <cell r="D234" t="str">
            <v>BRNDRA74C16D612 K</v>
          </cell>
          <cell r="E234" t="str">
            <v>VIA DEL PADULETTO, 274</v>
          </cell>
          <cell r="F234">
            <v>55041</v>
          </cell>
          <cell r="G234" t="str">
            <v>CAMAIORE</v>
          </cell>
          <cell r="H234" t="str">
            <v>LU</v>
          </cell>
          <cell r="I234" t="str">
            <v>ITALIA</v>
          </cell>
          <cell r="J234" t="str">
            <v>393-920159818</v>
          </cell>
        </row>
        <row r="235">
          <cell r="B235">
            <v>7209</v>
          </cell>
          <cell r="C235" t="str">
            <v>BAROZZI CATIA</v>
          </cell>
          <cell r="D235" t="str">
            <v>BRZCTA64E66G337 I</v>
          </cell>
          <cell r="E235" t="str">
            <v>VIA BORA, 3M</v>
          </cell>
          <cell r="F235">
            <v>43029</v>
          </cell>
          <cell r="G235" t="str">
            <v>TRAVERSETOLO</v>
          </cell>
          <cell r="H235" t="str">
            <v>PR</v>
          </cell>
          <cell r="I235" t="str">
            <v>ITALIA</v>
          </cell>
          <cell r="J235" t="str">
            <v>348-3388397</v>
          </cell>
        </row>
        <row r="236">
          <cell r="B236">
            <v>6541</v>
          </cell>
          <cell r="C236" t="str">
            <v>BASA DI BASAGLIA  MATTEO</v>
          </cell>
          <cell r="D236" t="str">
            <v>10126800969 BSGMTT96M16A940 J</v>
          </cell>
          <cell r="E236" t="str">
            <v>VIA SANDRO PERTINI, 4</v>
          </cell>
          <cell r="F236">
            <v>20030</v>
          </cell>
          <cell r="G236" t="str">
            <v>SENAGO</v>
          </cell>
          <cell r="H236" t="str">
            <v>MI</v>
          </cell>
          <cell r="I236" t="str">
            <v>ITALIA</v>
          </cell>
          <cell r="J236" t="str">
            <v>348-4388919</v>
          </cell>
        </row>
        <row r="237">
          <cell r="B237">
            <v>123</v>
          </cell>
          <cell r="C237" t="str">
            <v>BASTIANINO S.N.C.  DI ZOCCOLA  ANGELA MARIA &amp; C.</v>
          </cell>
          <cell r="D237" t="str">
            <v>01330200062 01330200062</v>
          </cell>
          <cell r="E237" t="str">
            <v>VIA FRUGAROLO, 41</v>
          </cell>
          <cell r="F237">
            <v>15072</v>
          </cell>
          <cell r="G237" t="str">
            <v>CASALCERMELLI</v>
          </cell>
          <cell r="H237" t="str">
            <v>AL</v>
          </cell>
          <cell r="I237" t="str">
            <v>ITALIA</v>
          </cell>
          <cell r="J237" t="str">
            <v>0131-279301</v>
          </cell>
        </row>
        <row r="238">
          <cell r="B238">
            <v>7476</v>
          </cell>
          <cell r="C238" t="str">
            <v>BATTINI STEFANO</v>
          </cell>
          <cell r="D238" t="str">
            <v>BTTSFN66M15D037 Y</v>
          </cell>
          <cell r="E238" t="str">
            <v>VIA DORANDO PIETRI 20</v>
          </cell>
          <cell r="F238">
            <v>42015</v>
          </cell>
          <cell r="G238" t="str">
            <v>CORREGGIO</v>
          </cell>
          <cell r="H238" t="str">
            <v>RE</v>
          </cell>
          <cell r="I238" t="str">
            <v>ITALIA</v>
          </cell>
          <cell r="J238" t="str">
            <v>329-0077513</v>
          </cell>
        </row>
        <row r="239">
          <cell r="B239">
            <v>4292</v>
          </cell>
          <cell r="C239" t="str">
            <v>BATTISTI FABRIZIO  E NADIA S.N.C.</v>
          </cell>
          <cell r="D239" t="str">
            <v>01102260419 01102260419</v>
          </cell>
          <cell r="E239" t="str">
            <v>VIA FERRARO MANLIO</v>
          </cell>
          <cell r="F239">
            <v>61122</v>
          </cell>
          <cell r="G239" t="str">
            <v>PESARO</v>
          </cell>
          <cell r="H239" t="str">
            <v>PU</v>
          </cell>
          <cell r="I239" t="str">
            <v>ITALIA</v>
          </cell>
          <cell r="J239" t="str">
            <v>0721-281200</v>
          </cell>
        </row>
        <row r="240">
          <cell r="B240">
            <v>4949</v>
          </cell>
          <cell r="C240" t="str">
            <v>BAUDINO ING.  MARCO</v>
          </cell>
          <cell r="D240" t="str">
            <v>09115250012 BDNMRC78E24E379 Z</v>
          </cell>
          <cell r="E240" t="str">
            <v>VIA BARBACANA, 26</v>
          </cell>
          <cell r="F240">
            <v>10090</v>
          </cell>
          <cell r="G240" t="str">
            <v>SAN GIORGIO  CANAVESE</v>
          </cell>
          <cell r="H240" t="str">
            <v>TO</v>
          </cell>
          <cell r="I240" t="str">
            <v>ITALIA</v>
          </cell>
          <cell r="J240" t="str">
            <v>333-4647746</v>
          </cell>
        </row>
        <row r="241">
          <cell r="B241">
            <v>6400</v>
          </cell>
          <cell r="C241" t="str">
            <v>BAZZANO ANGELO</v>
          </cell>
          <cell r="D241" t="str">
            <v>01220680092 BZZNGL61S05D264 V</v>
          </cell>
          <cell r="E241" t="str">
            <v>CORSO MARCONI, 134</v>
          </cell>
          <cell r="F241">
            <v>17014</v>
          </cell>
          <cell r="G241" t="str">
            <v>CAIRO  MONTENOTTE</v>
          </cell>
          <cell r="H241" t="str">
            <v>SV</v>
          </cell>
          <cell r="I241" t="str">
            <v>ITALIA</v>
          </cell>
          <cell r="J241" t="str">
            <v>348-3035257</v>
          </cell>
        </row>
        <row r="242">
          <cell r="B242">
            <v>4937</v>
          </cell>
          <cell r="C242" t="str">
            <v>BB VENDING S.R.L.</v>
          </cell>
          <cell r="D242" t="str">
            <v>03405260120 03405260120</v>
          </cell>
          <cell r="E242" t="str">
            <v>VIA GENERAL CANTORE, 4</v>
          </cell>
          <cell r="F242">
            <v>21052</v>
          </cell>
          <cell r="G242" t="str">
            <v>BUSTO ARSIZIO</v>
          </cell>
          <cell r="H242" t="str">
            <v>VA</v>
          </cell>
          <cell r="I242" t="str">
            <v>ITALIA</v>
          </cell>
          <cell r="J242" t="str">
            <v>338-9516627</v>
          </cell>
        </row>
        <row r="243">
          <cell r="B243">
            <v>7134</v>
          </cell>
          <cell r="C243" t="str">
            <v>BCC LEASE S.P.A.</v>
          </cell>
          <cell r="D243" t="str">
            <v>15240741007 06543201005</v>
          </cell>
          <cell r="E243" t="str">
            <v>VIA LUCREZIA ROMANA,  41/47</v>
          </cell>
          <cell r="F243">
            <v>178</v>
          </cell>
          <cell r="G243" t="str">
            <v>ROMA</v>
          </cell>
          <cell r="H243" t="str">
            <v>RM</v>
          </cell>
          <cell r="I243" t="str">
            <v>ITALIA</v>
          </cell>
          <cell r="J243" t="str">
            <v>06-72071</v>
          </cell>
        </row>
        <row r="244">
          <cell r="B244">
            <v>116</v>
          </cell>
          <cell r="C244" t="str">
            <v>BCS (ORASESTA S.P.A.)</v>
          </cell>
          <cell r="E244" t="str">
            <v>VIA GIUSEPPE MAZZINI,161</v>
          </cell>
          <cell r="F244">
            <v>20081</v>
          </cell>
          <cell r="G244" t="str">
            <v>ABBIATEGRASSO</v>
          </cell>
          <cell r="H244" t="str">
            <v>MI</v>
          </cell>
          <cell r="I244" t="str">
            <v>ITALIA</v>
          </cell>
          <cell r="J244" t="str">
            <v>02-2157000</v>
          </cell>
        </row>
        <row r="245">
          <cell r="B245">
            <v>3721</v>
          </cell>
          <cell r="C245" t="str">
            <v>BE.CA. S.R.L.  GESTIONE  DISTRIBUTORI  AUTOMATICI</v>
          </cell>
          <cell r="D245" t="str">
            <v>10179610018 10179610018</v>
          </cell>
          <cell r="E245" t="str">
            <v>VIALE MARCONI, 81</v>
          </cell>
          <cell r="F245">
            <v>10090</v>
          </cell>
          <cell r="G245" t="str">
            <v>BRUINO</v>
          </cell>
          <cell r="H245" t="str">
            <v>TO</v>
          </cell>
          <cell r="I245" t="str">
            <v>ITALIA</v>
          </cell>
          <cell r="J245" t="str">
            <v>011-9088913</v>
          </cell>
        </row>
        <row r="246">
          <cell r="B246">
            <v>4485</v>
          </cell>
          <cell r="C246" t="str">
            <v>BECCARIA ELISA</v>
          </cell>
          <cell r="D246" t="str">
            <v>01128990049 BCCLSE85R68D205 I</v>
          </cell>
          <cell r="E246" t="str">
            <v>VIA DEL PASSATORE, 225</v>
          </cell>
          <cell r="F246">
            <v>12100</v>
          </cell>
          <cell r="G246" t="str">
            <v>CUNEO</v>
          </cell>
          <cell r="H246" t="str">
            <v>CN</v>
          </cell>
          <cell r="I246" t="str">
            <v>ITALIA</v>
          </cell>
          <cell r="J246" t="str">
            <v>0171-300182</v>
          </cell>
        </row>
        <row r="247">
          <cell r="B247">
            <v>4320</v>
          </cell>
          <cell r="C247" t="str">
            <v>BEL BAR C.R.B. DI  BELBRUNO S.E.C. S. R.L.</v>
          </cell>
          <cell r="D247" t="str">
            <v>02768390045 02768390045</v>
          </cell>
          <cell r="E247" t="str">
            <v>VIA TORINO, 51</v>
          </cell>
          <cell r="F247">
            <v>12084</v>
          </cell>
          <cell r="G247" t="str">
            <v>MONDOVI'</v>
          </cell>
          <cell r="H247" t="str">
            <v>CN</v>
          </cell>
          <cell r="I247" t="str">
            <v>ITALIA</v>
          </cell>
          <cell r="J247" t="str">
            <v xml:space="preserve">0174-554361 </v>
          </cell>
        </row>
        <row r="248">
          <cell r="B248">
            <v>6658</v>
          </cell>
          <cell r="C248" t="str">
            <v>BELLANTONI  DAVIDE DITTA  INDIVIDUALE</v>
          </cell>
          <cell r="D248" t="str">
            <v>02538820990 BLLDVD88T18D969 N</v>
          </cell>
          <cell r="E248" t="str">
            <v>VIA SERGIO PIOMBELLI,  29/2-29/7</v>
          </cell>
          <cell r="F248">
            <v>16159</v>
          </cell>
          <cell r="G248" t="str">
            <v>GENOVA</v>
          </cell>
          <cell r="H248" t="str">
            <v>GE</v>
          </cell>
          <cell r="I248" t="str">
            <v>ITALIA</v>
          </cell>
          <cell r="J248" t="str">
            <v>345-1601968</v>
          </cell>
        </row>
        <row r="249">
          <cell r="B249">
            <v>7235</v>
          </cell>
          <cell r="C249" t="str">
            <v>BELLINI ALBERTO</v>
          </cell>
          <cell r="D249" t="str">
            <v>BLLLRT68H09D612I</v>
          </cell>
          <cell r="E249" t="str">
            <v>VIA TORRICELLA 48</v>
          </cell>
          <cell r="F249">
            <v>50023</v>
          </cell>
          <cell r="G249" t="str">
            <v>IMPRUNETA</v>
          </cell>
          <cell r="H249" t="str">
            <v>FI</v>
          </cell>
          <cell r="I249" t="str">
            <v>ITALIA</v>
          </cell>
          <cell r="J249" t="str">
            <v>335-7239463</v>
          </cell>
        </row>
        <row r="250">
          <cell r="B250">
            <v>7199</v>
          </cell>
          <cell r="C250" t="str">
            <v>BELMONDO DI  ALBOUYEH  HOJJATOLLAH</v>
          </cell>
          <cell r="D250" t="str">
            <v>12319580010 LBYHJT93B13Z224T</v>
          </cell>
          <cell r="E250" t="str">
            <v>CORSO RACCONIGI 173/D</v>
          </cell>
          <cell r="F250">
            <v>10100</v>
          </cell>
          <cell r="G250" t="str">
            <v>TORINO</v>
          </cell>
          <cell r="H250" t="str">
            <v>TO</v>
          </cell>
          <cell r="I250" t="str">
            <v>ITALIA</v>
          </cell>
          <cell r="J250" t="str">
            <v>011-19015655</v>
          </cell>
        </row>
        <row r="251">
          <cell r="B251">
            <v>4391</v>
          </cell>
          <cell r="C251" t="str">
            <v>BELMONTE S.P.A.</v>
          </cell>
          <cell r="D251" t="str">
            <v>02522930128 02522930128</v>
          </cell>
          <cell r="E251" t="str">
            <v>VIA BELMONTE, SNC</v>
          </cell>
          <cell r="F251">
            <v>21100</v>
          </cell>
          <cell r="G251" t="str">
            <v>VARESE</v>
          </cell>
          <cell r="H251" t="str">
            <v>VA</v>
          </cell>
          <cell r="I251" t="str">
            <v>ITALIA</v>
          </cell>
        </row>
        <row r="252">
          <cell r="B252">
            <v>2773</v>
          </cell>
          <cell r="C252" t="str">
            <v>BELOTTI  DISTRIBUTION (CAFFE' BORBONE)</v>
          </cell>
          <cell r="E252" t="str">
            <v>VIA CADUTI DEL LAVORO, 10</v>
          </cell>
          <cell r="F252">
            <v>25032</v>
          </cell>
          <cell r="G252" t="str">
            <v>CHIARI</v>
          </cell>
          <cell r="H252" t="str">
            <v>BS</v>
          </cell>
          <cell r="I252" t="str">
            <v>ITALIA</v>
          </cell>
          <cell r="J252" t="str">
            <v>334-7000610</v>
          </cell>
        </row>
        <row r="253">
          <cell r="B253">
            <v>6587</v>
          </cell>
          <cell r="C253" t="str">
            <v>BELOTTI  DISTRIBUTION DI  BELOTTI MARCO</v>
          </cell>
          <cell r="D253" t="str">
            <v>03626170983 BLTMRC75A31C618 G</v>
          </cell>
          <cell r="E253" t="str">
            <v>VIA CADUTI DEL LAVORO, 10</v>
          </cell>
          <cell r="F253">
            <v>25032</v>
          </cell>
          <cell r="G253" t="str">
            <v>CHIARI</v>
          </cell>
          <cell r="H253" t="str">
            <v>BS</v>
          </cell>
          <cell r="I253" t="str">
            <v>ITALIA</v>
          </cell>
          <cell r="J253" t="str">
            <v>334-7000610</v>
          </cell>
        </row>
        <row r="254">
          <cell r="B254">
            <v>7353</v>
          </cell>
          <cell r="C254" t="str">
            <v>BELOTTI GIOVANNI</v>
          </cell>
          <cell r="D254" t="str">
            <v>BLTGNN45D16B711 Q</v>
          </cell>
          <cell r="E254" t="str">
            <v>VIA NIGGELER, 47</v>
          </cell>
          <cell r="F254">
            <v>25031</v>
          </cell>
          <cell r="G254" t="str">
            <v>CAPRIOLO</v>
          </cell>
          <cell r="H254" t="str">
            <v>BS</v>
          </cell>
          <cell r="I254" t="str">
            <v>ITALIA</v>
          </cell>
          <cell r="J254" t="str">
            <v>338-2097129</v>
          </cell>
        </row>
        <row r="255">
          <cell r="B255">
            <v>4650</v>
          </cell>
          <cell r="C255" t="str">
            <v>BELTRA SYSTEM S.R.L. (CAFFE' BORBONE)</v>
          </cell>
          <cell r="E255" t="str">
            <v>VIA FLEMING, 6/8</v>
          </cell>
          <cell r="F255">
            <v>20092</v>
          </cell>
          <cell r="G255" t="str">
            <v>CINISELLO BALSAMO</v>
          </cell>
          <cell r="H255" t="str">
            <v>MI</v>
          </cell>
          <cell r="I255" t="str">
            <v>ITALIA</v>
          </cell>
          <cell r="J255" t="str">
            <v>02-66040815</v>
          </cell>
        </row>
        <row r="256">
          <cell r="B256">
            <v>7018</v>
          </cell>
          <cell r="C256" t="str">
            <v>BELVISO MINA</v>
          </cell>
          <cell r="D256" t="str">
            <v>BLVGMN68M69H645 J</v>
          </cell>
          <cell r="E256" t="str">
            <v>VIA PRINCIPESSA  GIOVANNA 3/B</v>
          </cell>
          <cell r="F256">
            <v>70127</v>
          </cell>
          <cell r="G256" t="str">
            <v>BARI</v>
          </cell>
          <cell r="H256" t="str">
            <v>BA</v>
          </cell>
          <cell r="I256" t="str">
            <v>ITALIA</v>
          </cell>
          <cell r="J256" t="str">
            <v>328-0448600</v>
          </cell>
        </row>
        <row r="257">
          <cell r="B257">
            <v>4971</v>
          </cell>
          <cell r="C257" t="str">
            <v>BENFATTO S.R.L.</v>
          </cell>
          <cell r="D257" t="str">
            <v>01438360065 01438360065</v>
          </cell>
          <cell r="E257" t="str">
            <v>STRADA CASALE ASTI, 11</v>
          </cell>
          <cell r="F257">
            <v>15033</v>
          </cell>
          <cell r="G257" t="str">
            <v>CASALE  MONFERRATO</v>
          </cell>
          <cell r="H257" t="str">
            <v>AL</v>
          </cell>
          <cell r="I257" t="str">
            <v>ITALIA</v>
          </cell>
          <cell r="J257" t="str">
            <v>0142-454354</v>
          </cell>
        </row>
        <row r="258">
          <cell r="B258">
            <v>4511</v>
          </cell>
          <cell r="C258" t="str">
            <v>BENSO SERGIO</v>
          </cell>
          <cell r="D258" t="str">
            <v>11056260018 BNSSRG58D20L219 W</v>
          </cell>
          <cell r="E258" t="str">
            <v>VIA GIOVANNI, XXXIII, 21</v>
          </cell>
          <cell r="F258">
            <v>10010</v>
          </cell>
          <cell r="G258" t="str">
            <v>MERCENASCO</v>
          </cell>
          <cell r="H258" t="str">
            <v>TO</v>
          </cell>
          <cell r="I258" t="str">
            <v>ITALIA</v>
          </cell>
          <cell r="J258" t="str">
            <v>345-6912391</v>
          </cell>
        </row>
        <row r="259">
          <cell r="B259">
            <v>6971</v>
          </cell>
          <cell r="C259" t="str">
            <v>BENVENUTO  CLAUDIO</v>
          </cell>
          <cell r="D259" t="str">
            <v>BNVCLD76L29E290 X</v>
          </cell>
          <cell r="E259" t="str">
            <v>VIA CLAVI, 53</v>
          </cell>
          <cell r="F259">
            <v>18100</v>
          </cell>
          <cell r="G259" t="str">
            <v>IMPERIA</v>
          </cell>
          <cell r="H259" t="str">
            <v>IM</v>
          </cell>
          <cell r="I259" t="str">
            <v>ITALIA</v>
          </cell>
          <cell r="J259" t="str">
            <v>328-8762917</v>
          </cell>
        </row>
        <row r="260">
          <cell r="B260">
            <v>7384</v>
          </cell>
          <cell r="C260" t="str">
            <v>BEQIRI AGRON</v>
          </cell>
          <cell r="D260" t="str">
            <v>BQRGRN67E07Z100 V</v>
          </cell>
          <cell r="E260" t="str">
            <v>VIA ZEVIANI 14</v>
          </cell>
          <cell r="F260">
            <v>37131</v>
          </cell>
          <cell r="G260" t="str">
            <v>VERONA</v>
          </cell>
          <cell r="H260" t="str">
            <v>VR</v>
          </cell>
          <cell r="I260" t="str">
            <v>ITALIA</v>
          </cell>
          <cell r="J260" t="str">
            <v>340-9697288</v>
          </cell>
        </row>
        <row r="261">
          <cell r="B261">
            <v>7216</v>
          </cell>
          <cell r="C261" t="str">
            <v>BERARDI GIOVANNI</v>
          </cell>
          <cell r="D261" t="str">
            <v>BRRGNN63M29E266 X</v>
          </cell>
          <cell r="E261" t="str">
            <v>VIA DEI PRATI FISCALI,  184  SCALA A INT. 4</v>
          </cell>
          <cell r="F261">
            <v>141</v>
          </cell>
          <cell r="G261" t="str">
            <v>ROMA</v>
          </cell>
          <cell r="H261" t="str">
            <v>RM</v>
          </cell>
          <cell r="I261" t="str">
            <v>ITALIA</v>
          </cell>
          <cell r="J261" t="str">
            <v>335-1652561</v>
          </cell>
        </row>
        <row r="262">
          <cell r="B262">
            <v>4384</v>
          </cell>
          <cell r="C262" t="str">
            <v>BERGADANO  FRANCESCA</v>
          </cell>
          <cell r="D262" t="str">
            <v>10966620014 BRGFNC77R70L219 H</v>
          </cell>
          <cell r="E262" t="str">
            <v>VIA TRIESTE, 20</v>
          </cell>
          <cell r="F262">
            <v>10080</v>
          </cell>
          <cell r="G262" t="str">
            <v>BOSCONERO</v>
          </cell>
          <cell r="H262" t="str">
            <v>TO</v>
          </cell>
          <cell r="I262" t="str">
            <v>ITALIA</v>
          </cell>
          <cell r="J262" t="str">
            <v>347-8515510</v>
          </cell>
        </row>
        <row r="263">
          <cell r="B263">
            <v>7461</v>
          </cell>
          <cell r="C263" t="str">
            <v>BERNASCONI LIDIA</v>
          </cell>
          <cell r="D263" t="str">
            <v>BRNLDI99L59C933A</v>
          </cell>
          <cell r="E263" t="str">
            <v>VIA PASTURA 2A</v>
          </cell>
          <cell r="F263">
            <v>22070</v>
          </cell>
          <cell r="G263" t="str">
            <v>VERTEMATE CON  MINOPRIO</v>
          </cell>
          <cell r="H263" t="str">
            <v>CO</v>
          </cell>
          <cell r="I263" t="str">
            <v>ITALIA</v>
          </cell>
          <cell r="J263" t="str">
            <v>333-9842215</v>
          </cell>
        </row>
        <row r="264">
          <cell r="B264">
            <v>1640</v>
          </cell>
          <cell r="C264" t="str">
            <v>BERTAZZO  VERECONDO</v>
          </cell>
          <cell r="D264" t="str">
            <v>BRTVCN57D04A826 M</v>
          </cell>
          <cell r="E264" t="str">
            <v>VIA G. DA CARDANO, 8</v>
          </cell>
          <cell r="F264">
            <v>21013</v>
          </cell>
          <cell r="G264" t="str">
            <v>GALLARATE</v>
          </cell>
          <cell r="H264" t="str">
            <v>VA</v>
          </cell>
          <cell r="I264" t="str">
            <v>ITALIA</v>
          </cell>
          <cell r="J264" t="str">
            <v>347-7361166</v>
          </cell>
        </row>
        <row r="265">
          <cell r="B265">
            <v>4600</v>
          </cell>
          <cell r="C265" t="str">
            <v>BERTOLINO SERVIZI  S.R.L.</v>
          </cell>
          <cell r="D265" t="str">
            <v>05158420017</v>
          </cell>
          <cell r="E265" t="str">
            <v>VIA TEMI, 76</v>
          </cell>
          <cell r="F265">
            <v>10151</v>
          </cell>
          <cell r="G265" t="str">
            <v>TORINO</v>
          </cell>
          <cell r="H265" t="str">
            <v>TO</v>
          </cell>
          <cell r="I265" t="str">
            <v>ITALIA</v>
          </cell>
          <cell r="J265" t="str">
            <v>011-733689</v>
          </cell>
        </row>
        <row r="266">
          <cell r="B266">
            <v>4446</v>
          </cell>
          <cell r="C266" t="str">
            <v>BERTOLOTTI LUCA</v>
          </cell>
          <cell r="D266" t="str">
            <v>00981790462 BRTLCU63B04C236 P</v>
          </cell>
          <cell r="E266" t="str">
            <v>VIA XXV APRILE, 2/B</v>
          </cell>
          <cell r="F266">
            <v>55032</v>
          </cell>
          <cell r="G266" t="str">
            <v>CASTELNUOVO  DI GARFAGNANA</v>
          </cell>
          <cell r="H266" t="str">
            <v>LU</v>
          </cell>
          <cell r="I266" t="str">
            <v>ITALIA</v>
          </cell>
          <cell r="J266" t="str">
            <v xml:space="preserve">0583-62127 </v>
          </cell>
        </row>
        <row r="267">
          <cell r="B267">
            <v>4372</v>
          </cell>
          <cell r="C267" t="str">
            <v>BERTONCINI LAURA</v>
          </cell>
          <cell r="D267" t="str">
            <v>09410030010 BRTLRA74T58F335H</v>
          </cell>
          <cell r="E267" t="str">
            <v>VIA CABOTO, 44</v>
          </cell>
          <cell r="F267">
            <v>10129</v>
          </cell>
          <cell r="G267" t="str">
            <v>TORINO</v>
          </cell>
          <cell r="H267" t="str">
            <v>TO</v>
          </cell>
          <cell r="I267" t="str">
            <v>ITALIA</v>
          </cell>
        </row>
        <row r="268">
          <cell r="B268">
            <v>4469</v>
          </cell>
          <cell r="C268" t="str">
            <v>BERTONE ANTONIO</v>
          </cell>
          <cell r="D268" t="str">
            <v>02328380023 BRTNTN72S23L750P</v>
          </cell>
          <cell r="E268" t="str">
            <v>VIA NOVA, 9</v>
          </cell>
          <cell r="F268">
            <v>13041</v>
          </cell>
          <cell r="G268" t="str">
            <v>BIANZE'</v>
          </cell>
          <cell r="H268" t="str">
            <v>VC</v>
          </cell>
          <cell r="I268" t="str">
            <v>ITALIA</v>
          </cell>
          <cell r="J268" t="str">
            <v>347-4332883</v>
          </cell>
        </row>
        <row r="269">
          <cell r="B269">
            <v>9962</v>
          </cell>
          <cell r="C269" t="str">
            <v>BEST CAFFE DI ROBERTO BOTTI</v>
          </cell>
          <cell r="E269" t="str">
            <v>L.GO FLAMINIA PICCOLI, 21</v>
          </cell>
          <cell r="F269">
            <v>43123</v>
          </cell>
          <cell r="G269" t="str">
            <v>PARMA</v>
          </cell>
          <cell r="H269" t="str">
            <v>PR</v>
          </cell>
          <cell r="I269" t="str">
            <v>ITALIA</v>
          </cell>
          <cell r="J269" t="str">
            <v>335-6816070</v>
          </cell>
        </row>
        <row r="270">
          <cell r="B270">
            <v>7316</v>
          </cell>
          <cell r="C270" t="str">
            <v>BEVACQUA ANNA</v>
          </cell>
          <cell r="D270" t="str">
            <v>BVCNNA69A63H264 U</v>
          </cell>
          <cell r="E270" t="str">
            <v>VIA SANDRO PERTINI,  664 ANG. VIA BRACCIANO</v>
          </cell>
          <cell r="F270">
            <v>21050</v>
          </cell>
          <cell r="G270" t="str">
            <v>MARNATE</v>
          </cell>
          <cell r="H270" t="str">
            <v>VA</v>
          </cell>
          <cell r="I270" t="str">
            <v>ITALIA</v>
          </cell>
          <cell r="J270" t="str">
            <v>339-5930730</v>
          </cell>
        </row>
        <row r="271">
          <cell r="B271">
            <v>4843</v>
          </cell>
          <cell r="C271" t="str">
            <v>BEVEND S.R.L.</v>
          </cell>
          <cell r="D271" t="str">
            <v>11539620010 11539620010</v>
          </cell>
          <cell r="E271" t="str">
            <v>CORSO MASSIMO D' AZEGLIO, 60H</v>
          </cell>
          <cell r="F271">
            <v>10126</v>
          </cell>
          <cell r="G271" t="str">
            <v>TORINO</v>
          </cell>
          <cell r="H271" t="str">
            <v>TO</v>
          </cell>
          <cell r="I271" t="str">
            <v>ITALIA</v>
          </cell>
          <cell r="J271" t="str">
            <v>346-8089722</v>
          </cell>
        </row>
        <row r="272">
          <cell r="B272">
            <v>7094</v>
          </cell>
          <cell r="C272" t="str">
            <v>BEVILACQUA  ANNARITA</v>
          </cell>
          <cell r="D272" t="str">
            <v>BVLNRT79D48F104F</v>
          </cell>
          <cell r="E272" t="str">
            <v>VIA CENISIO, 64</v>
          </cell>
          <cell r="F272">
            <v>20154</v>
          </cell>
          <cell r="G272" t="str">
            <v>MILANO</v>
          </cell>
          <cell r="H272" t="str">
            <v>MI</v>
          </cell>
          <cell r="I272" t="str">
            <v>ITALIA</v>
          </cell>
          <cell r="J272" t="str">
            <v>380-5486375</v>
          </cell>
        </row>
        <row r="273">
          <cell r="B273">
            <v>3231</v>
          </cell>
          <cell r="C273" t="str">
            <v>BI.PI S.R.L.</v>
          </cell>
          <cell r="D273" t="str">
            <v>00439770462 00439770462</v>
          </cell>
          <cell r="E273" t="str">
            <v>VIA DEL FANUCCIO, 147/A</v>
          </cell>
          <cell r="F273">
            <v>55014</v>
          </cell>
          <cell r="G273" t="str">
            <v>MARLIA</v>
          </cell>
          <cell r="H273" t="str">
            <v>LU</v>
          </cell>
          <cell r="I273" t="str">
            <v>ITALIA</v>
          </cell>
          <cell r="J273" t="str">
            <v xml:space="preserve">0583-407331 </v>
          </cell>
        </row>
        <row r="274">
          <cell r="B274">
            <v>7396</v>
          </cell>
          <cell r="C274" t="str">
            <v>BIAGINI VALENTINA</v>
          </cell>
          <cell r="D274" t="str">
            <v>BGNVNT82H41G713 D</v>
          </cell>
          <cell r="E274" t="str">
            <v>VIA DEL COMUNE, 4 -  FRAZ. CASALGUIDI</v>
          </cell>
          <cell r="F274">
            <v>51034</v>
          </cell>
          <cell r="G274" t="str">
            <v>PISTOIA</v>
          </cell>
          <cell r="H274" t="str">
            <v>PT</v>
          </cell>
          <cell r="I274" t="str">
            <v>ITALIA</v>
          </cell>
          <cell r="J274" t="str">
            <v>349-2561943</v>
          </cell>
        </row>
        <row r="275">
          <cell r="B275">
            <v>6473</v>
          </cell>
          <cell r="C275" t="str">
            <v>BIANCANEVE  LAVANDERIA SELF-SERVICE</v>
          </cell>
          <cell r="D275" t="str">
            <v>04195870169 PVLDHS75T66Z155 K</v>
          </cell>
          <cell r="E275" t="str">
            <v>LARGO VOLONTARI DEL  SANGUE, 15</v>
          </cell>
          <cell r="F275">
            <v>24069</v>
          </cell>
          <cell r="G275" t="str">
            <v>TRESCORE  BALNEARIO</v>
          </cell>
          <cell r="H275" t="str">
            <v>BG</v>
          </cell>
          <cell r="I275" t="str">
            <v>ITALIA</v>
          </cell>
          <cell r="J275" t="str">
            <v>366-1800855</v>
          </cell>
        </row>
        <row r="276">
          <cell r="B276">
            <v>7285</v>
          </cell>
          <cell r="C276" t="str">
            <v>BIANCANEVE LAVANDERIA SELF- SERVICE</v>
          </cell>
          <cell r="D276" t="str">
            <v>04471800161 RMNSFN70L13D960 O</v>
          </cell>
          <cell r="E276" t="str">
            <v>LARGO VOLONTARI DEL  SANGUE, 15</v>
          </cell>
          <cell r="F276">
            <v>24069</v>
          </cell>
          <cell r="G276" t="str">
            <v>TRESCORE  BALNEARIO</v>
          </cell>
          <cell r="H276" t="str">
            <v>BG</v>
          </cell>
          <cell r="I276" t="str">
            <v>ITALIA</v>
          </cell>
          <cell r="J276" t="str">
            <v>349-7636128</v>
          </cell>
        </row>
        <row r="277">
          <cell r="B277">
            <v>7129</v>
          </cell>
          <cell r="C277" t="str">
            <v>BIANCHERA  ANTONIETTA</v>
          </cell>
          <cell r="D277" t="str">
            <v>BNCNNT57M61C406 K</v>
          </cell>
          <cell r="E277" t="str">
            <v>VIA PAGLIETTE 1</v>
          </cell>
          <cell r="F277">
            <v>46040</v>
          </cell>
          <cell r="G277" t="str">
            <v>CAVRIANA</v>
          </cell>
          <cell r="H277" t="str">
            <v>MN</v>
          </cell>
          <cell r="I277" t="str">
            <v>ITALIA</v>
          </cell>
          <cell r="J277" t="str">
            <v>320-0374165</v>
          </cell>
        </row>
        <row r="278">
          <cell r="B278">
            <v>6528</v>
          </cell>
          <cell r="C278" t="str">
            <v>BIANCHETTI ROMEO</v>
          </cell>
          <cell r="D278" t="str">
            <v>BNCRMO80R06B393 D</v>
          </cell>
          <cell r="E278" t="str">
            <v>VIA GIOGO, 1</v>
          </cell>
          <cell r="F278">
            <v>24050</v>
          </cell>
          <cell r="G278" t="str">
            <v>CALCINATE</v>
          </cell>
          <cell r="H278" t="str">
            <v>BG</v>
          </cell>
          <cell r="I278" t="str">
            <v>ITALIA</v>
          </cell>
          <cell r="J278" t="str">
            <v>347-5225087</v>
          </cell>
        </row>
        <row r="279">
          <cell r="B279">
            <v>4570</v>
          </cell>
          <cell r="C279" t="str">
            <v>BIANCHI INDUSTRY  S.P.A.</v>
          </cell>
          <cell r="D279" t="str">
            <v>04002310169 04002310169</v>
          </cell>
          <cell r="E279" t="str">
            <v>CORSO AFRICA, 9</v>
          </cell>
          <cell r="F279">
            <v>24040</v>
          </cell>
          <cell r="G279" t="str">
            <v>ZINGONIA DI  VERDELLINO</v>
          </cell>
          <cell r="H279" t="str">
            <v>BG</v>
          </cell>
          <cell r="I279" t="str">
            <v>ITALIA</v>
          </cell>
          <cell r="J279" t="str">
            <v>035-882225</v>
          </cell>
        </row>
        <row r="280">
          <cell r="B280">
            <v>2500</v>
          </cell>
          <cell r="C280" t="str">
            <v>BIANCHI VENDING GROUP S. P.A.</v>
          </cell>
          <cell r="D280" t="str">
            <v>01945980223 01945980223</v>
          </cell>
          <cell r="E280" t="str">
            <v>CORSO AFRICA, 9 - LOC.  ZINGONIA</v>
          </cell>
          <cell r="F280">
            <v>24049</v>
          </cell>
          <cell r="G280" t="str">
            <v>VERDELLINO</v>
          </cell>
          <cell r="H280" t="str">
            <v>BG</v>
          </cell>
          <cell r="I280" t="str">
            <v>ITALIA</v>
          </cell>
          <cell r="J280" t="str">
            <v>035-882225</v>
          </cell>
        </row>
        <row r="281">
          <cell r="B281">
            <v>7347</v>
          </cell>
          <cell r="C281" t="str">
            <v>BIANCO ANTONIO</v>
          </cell>
          <cell r="D281" t="str">
            <v>BNCNTN69L21B180 U</v>
          </cell>
          <cell r="E281" t="str">
            <v>VIA OSANNA 102</v>
          </cell>
          <cell r="F281">
            <v>72100</v>
          </cell>
          <cell r="G281" t="str">
            <v>BRINDISI</v>
          </cell>
          <cell r="H281" t="str">
            <v>BR</v>
          </cell>
          <cell r="I281" t="str">
            <v>ITALIA</v>
          </cell>
          <cell r="J281" t="str">
            <v>338-4364726</v>
          </cell>
        </row>
        <row r="282">
          <cell r="B282">
            <v>4668</v>
          </cell>
          <cell r="C282" t="str">
            <v>BIBI S.A.S. DI  LAURA D'AGOSTINO  &amp; C.</v>
          </cell>
          <cell r="D282" t="str">
            <v>11303930017 11303930017</v>
          </cell>
          <cell r="E282" t="str">
            <v>VIA VALLO, 2/A</v>
          </cell>
          <cell r="F282">
            <v>10040</v>
          </cell>
          <cell r="G282" t="str">
            <v>GIVOLETTO</v>
          </cell>
          <cell r="H282" t="str">
            <v>TO</v>
          </cell>
          <cell r="I282" t="str">
            <v>ITALIA</v>
          </cell>
          <cell r="J282" t="str">
            <v>393-8967817</v>
          </cell>
        </row>
        <row r="283">
          <cell r="B283">
            <v>1622</v>
          </cell>
          <cell r="C283" t="str">
            <v>BIBO ITALIA S.P.A.</v>
          </cell>
          <cell r="D283" t="str">
            <v>00513220012 00513220012</v>
          </cell>
          <cell r="E283" t="str">
            <v>VIA ENRICO DE NICOLA,  20</v>
          </cell>
          <cell r="F283">
            <v>10036</v>
          </cell>
          <cell r="G283" t="str">
            <v>SETTIMO  TORINESE</v>
          </cell>
          <cell r="H283" t="str">
            <v>TO</v>
          </cell>
          <cell r="I283" t="str">
            <v>ITALIA</v>
          </cell>
          <cell r="J283" t="str">
            <v>0522-903411</v>
          </cell>
        </row>
        <row r="284">
          <cell r="B284">
            <v>7401</v>
          </cell>
          <cell r="C284" t="str">
            <v>BIDDAU CHRISTIAN</v>
          </cell>
          <cell r="D284" t="str">
            <v>BDDCRS91H27I452 T</v>
          </cell>
          <cell r="E284" t="str">
            <v>VIA DE PRETIS, 17</v>
          </cell>
          <cell r="F284">
            <v>7032</v>
          </cell>
          <cell r="G284" t="str">
            <v>NULVI</v>
          </cell>
          <cell r="H284" t="str">
            <v>SS</v>
          </cell>
          <cell r="I284" t="str">
            <v>ITALIA</v>
          </cell>
          <cell r="J284" t="str">
            <v>349-8654544</v>
          </cell>
        </row>
        <row r="285">
          <cell r="B285">
            <v>4545</v>
          </cell>
          <cell r="C285" t="str">
            <v>BIELEIS S.N.C.</v>
          </cell>
          <cell r="D285" t="str">
            <v>11142690012</v>
          </cell>
          <cell r="E285" t="str">
            <v>VIA SAN SECONDO, 64/B</v>
          </cell>
          <cell r="F285">
            <v>10128</v>
          </cell>
          <cell r="G285" t="str">
            <v>TORINO</v>
          </cell>
          <cell r="H285" t="str">
            <v>TO</v>
          </cell>
          <cell r="I285" t="str">
            <v>ITALIA</v>
          </cell>
          <cell r="J285" t="str">
            <v>347-3128505</v>
          </cell>
        </row>
        <row r="286">
          <cell r="B286">
            <v>1626</v>
          </cell>
          <cell r="C286" t="str">
            <v>BIELLA BREAK S.N.C.</v>
          </cell>
          <cell r="D286" t="str">
            <v>02015370022 02015370022</v>
          </cell>
          <cell r="E286" t="str">
            <v>VIA PROVINCIALE, 1 -  FRAZ. PONZONE DI  TRIVERO</v>
          </cell>
          <cell r="F286">
            <v>13835</v>
          </cell>
          <cell r="G286" t="str">
            <v>VALDILANA</v>
          </cell>
          <cell r="H286" t="str">
            <v>BI</v>
          </cell>
          <cell r="I286" t="str">
            <v>ITALIA</v>
          </cell>
          <cell r="J286" t="str">
            <v>015-779012</v>
          </cell>
        </row>
        <row r="287">
          <cell r="B287">
            <v>2371</v>
          </cell>
          <cell r="C287" t="str">
            <v>BIG ASTOR S.r.l.</v>
          </cell>
          <cell r="D287" t="str">
            <v>05456060010 05456060010</v>
          </cell>
          <cell r="E287" t="str">
            <v>VIA CANDIOLO, 7</v>
          </cell>
          <cell r="F287">
            <v>10127</v>
          </cell>
          <cell r="G287" t="str">
            <v>TORINO</v>
          </cell>
          <cell r="H287" t="str">
            <v>TO</v>
          </cell>
          <cell r="I287" t="str">
            <v>ITALIA</v>
          </cell>
          <cell r="J287" t="str">
            <v>011-6051743</v>
          </cell>
        </row>
        <row r="288">
          <cell r="B288">
            <v>4693</v>
          </cell>
          <cell r="C288" t="str">
            <v>BIG S.R.L.</v>
          </cell>
          <cell r="D288" t="str">
            <v>04492200961 04492200961</v>
          </cell>
          <cell r="E288" t="str">
            <v>VIA FLAVIO GIOIA, 8</v>
          </cell>
          <cell r="F288">
            <v>20149</v>
          </cell>
          <cell r="G288" t="str">
            <v>MILANO</v>
          </cell>
          <cell r="H288" t="str">
            <v>MI</v>
          </cell>
          <cell r="I288" t="str">
            <v>ITALIA</v>
          </cell>
          <cell r="J288" t="str">
            <v>02-43356707</v>
          </cell>
        </row>
        <row r="289">
          <cell r="B289">
            <v>7309</v>
          </cell>
          <cell r="C289" t="str">
            <v>BIG S.R.L.</v>
          </cell>
          <cell r="D289" t="str">
            <v>11412360965 04492200961</v>
          </cell>
          <cell r="E289" t="str">
            <v>VIA FLAVIO GIOIA, 8</v>
          </cell>
          <cell r="F289">
            <v>20100</v>
          </cell>
          <cell r="G289" t="str">
            <v>MILANO</v>
          </cell>
          <cell r="H289" t="str">
            <v>MI</v>
          </cell>
          <cell r="I289" t="str">
            <v>ITALIA</v>
          </cell>
          <cell r="J289" t="str">
            <v>02-43356707</v>
          </cell>
        </row>
        <row r="290">
          <cell r="B290">
            <v>6913</v>
          </cell>
          <cell r="C290" t="str">
            <v>BIG TRUCK SRL</v>
          </cell>
          <cell r="D290" t="str">
            <v>02281190997 02281190997</v>
          </cell>
          <cell r="E290" t="str">
            <v>VIALE EUROPA SN</v>
          </cell>
          <cell r="F290">
            <v>15053</v>
          </cell>
          <cell r="G290" t="str">
            <v>CASTELNUOVO  SCRIVIA</v>
          </cell>
          <cell r="H290" t="str">
            <v>AL</v>
          </cell>
          <cell r="I290" t="str">
            <v>ITALIA</v>
          </cell>
          <cell r="J290" t="str">
            <v>0131-867221</v>
          </cell>
        </row>
        <row r="291">
          <cell r="B291">
            <v>3588</v>
          </cell>
          <cell r="C291" t="str">
            <v>BIGSHOP25 S.A. S.</v>
          </cell>
          <cell r="D291" t="str">
            <v>03130000965 03130000965</v>
          </cell>
          <cell r="E291" t="str">
            <v>VIA LIBERTA', 3</v>
          </cell>
          <cell r="F291">
            <v>20051</v>
          </cell>
          <cell r="G291" t="str">
            <v>LIMBIATE</v>
          </cell>
          <cell r="H291" t="str">
            <v>MI</v>
          </cell>
          <cell r="I291" t="str">
            <v>ITALIA</v>
          </cell>
          <cell r="J291" t="str">
            <v>334-9166327</v>
          </cell>
        </row>
        <row r="292">
          <cell r="B292">
            <v>4699</v>
          </cell>
          <cell r="C292" t="str">
            <v>BIOSELF S.R.L.</v>
          </cell>
          <cell r="D292" t="str">
            <v>09935790015</v>
          </cell>
          <cell r="E292" t="str">
            <v>VILLAGGIO ALBARON</v>
          </cell>
          <cell r="F292">
            <v>10070</v>
          </cell>
          <cell r="G292" t="str">
            <v>BALME</v>
          </cell>
          <cell r="H292" t="str">
            <v>TO</v>
          </cell>
          <cell r="I292" t="str">
            <v>ITALIA</v>
          </cell>
          <cell r="J292" t="str">
            <v>0123-82958</v>
          </cell>
        </row>
        <row r="293">
          <cell r="B293">
            <v>5632</v>
          </cell>
          <cell r="C293" t="str">
            <v>BISALTA CAR WASH  DI GIRAUDO  FABRIZIO &amp; C. S.A.S</v>
          </cell>
          <cell r="D293" t="str">
            <v>02984880043 02984880043</v>
          </cell>
          <cell r="E293" t="str">
            <v>VIA PEVERAGNO, 161</v>
          </cell>
          <cell r="F293">
            <v>12012</v>
          </cell>
          <cell r="G293" t="str">
            <v>BOVES</v>
          </cell>
          <cell r="H293" t="str">
            <v>CN</v>
          </cell>
          <cell r="I293" t="str">
            <v>ITALIA</v>
          </cell>
          <cell r="J293" t="str">
            <v>0171-388042</v>
          </cell>
        </row>
        <row r="294">
          <cell r="B294">
            <v>7340</v>
          </cell>
          <cell r="C294" t="str">
            <v>BISCONTI SARA</v>
          </cell>
          <cell r="D294" t="str">
            <v>BSCSRA70M42A006 F</v>
          </cell>
          <cell r="E294" t="str">
            <v>VIA ESASSETA 37</v>
          </cell>
          <cell r="F294">
            <v>53021</v>
          </cell>
          <cell r="G294" t="str">
            <v>ABBADIA SAN  SALVATORE</v>
          </cell>
          <cell r="H294" t="str">
            <v>SI</v>
          </cell>
          <cell r="I294" t="str">
            <v>ITALIA</v>
          </cell>
          <cell r="J294" t="str">
            <v>347-1771789</v>
          </cell>
        </row>
        <row r="295">
          <cell r="B295">
            <v>6935</v>
          </cell>
          <cell r="C295" t="str">
            <v>BISIO CARTA S.A.S.  DI BISIO MAURIZIO  LUIGI &amp; C.</v>
          </cell>
          <cell r="D295" t="str">
            <v>02622530067 02622530067</v>
          </cell>
          <cell r="E295" t="str">
            <v>VIA PAGANINI, 13</v>
          </cell>
          <cell r="F295">
            <v>15060</v>
          </cell>
          <cell r="G295" t="str">
            <v>VOLTAGGIO</v>
          </cell>
          <cell r="H295" t="str">
            <v>AL</v>
          </cell>
          <cell r="I295" t="str">
            <v>ITALIA</v>
          </cell>
          <cell r="J295" t="str">
            <v>335-6055546</v>
          </cell>
        </row>
        <row r="296">
          <cell r="B296">
            <v>2779</v>
          </cell>
          <cell r="C296" t="str">
            <v>BISIO MAURIZIO</v>
          </cell>
          <cell r="D296" t="str">
            <v>01705990065 BSIMZL70B03F965 W</v>
          </cell>
          <cell r="E296" t="str">
            <v>VIA PAGANINI, 13</v>
          </cell>
          <cell r="F296">
            <v>15060</v>
          </cell>
          <cell r="G296" t="str">
            <v>VOLTAGGIO</v>
          </cell>
          <cell r="H296" t="str">
            <v>AL</v>
          </cell>
          <cell r="I296" t="str">
            <v>ITALIA</v>
          </cell>
          <cell r="J296" t="str">
            <v>335-6055546</v>
          </cell>
        </row>
        <row r="297">
          <cell r="B297">
            <v>4544</v>
          </cell>
          <cell r="C297" t="str">
            <v>BIVIBAR S.N.C. DI  BAUDUCCO S. E  VALLESE E.</v>
          </cell>
          <cell r="D297" t="str">
            <v>10599110011 10599110011</v>
          </cell>
          <cell r="E297" t="str">
            <v>VIA CAVALIER BRUNETTO, 78</v>
          </cell>
          <cell r="F297">
            <v>10077</v>
          </cell>
          <cell r="G297" t="str">
            <v>SAN MAURIZIO  CANAVESE</v>
          </cell>
          <cell r="H297" t="str">
            <v>TO</v>
          </cell>
          <cell r="I297" t="str">
            <v>ITALIA</v>
          </cell>
          <cell r="J297" t="str">
            <v>011-0705175</v>
          </cell>
        </row>
        <row r="298">
          <cell r="B298">
            <v>4316</v>
          </cell>
          <cell r="C298" t="str">
            <v>BIZING S.R.L.  SEMPLIFICATA</v>
          </cell>
          <cell r="D298" t="str">
            <v>03308420128 03308420128</v>
          </cell>
          <cell r="E298" t="str">
            <v>PIAZZA SANDRO PERTINI, 46</v>
          </cell>
          <cell r="F298">
            <v>21057</v>
          </cell>
          <cell r="G298" t="str">
            <v>OLGIATE OLONA</v>
          </cell>
          <cell r="H298" t="str">
            <v>VA</v>
          </cell>
          <cell r="I298" t="str">
            <v>ITALIA</v>
          </cell>
          <cell r="J298" t="str">
            <v>346-2194307</v>
          </cell>
        </row>
        <row r="299">
          <cell r="B299">
            <v>4473</v>
          </cell>
          <cell r="C299" t="str">
            <v>BJNO DI ROSTAGNO  MARIA LUISA</v>
          </cell>
          <cell r="D299" t="str">
            <v>11042200011 RSTMLS63T62D725 W</v>
          </cell>
          <cell r="E299" t="str">
            <v>VIA EINAUDI, 65</v>
          </cell>
          <cell r="F299">
            <v>10084</v>
          </cell>
          <cell r="G299" t="str">
            <v>FORNO  CANAVESE</v>
          </cell>
          <cell r="H299" t="str">
            <v>TO</v>
          </cell>
          <cell r="I299" t="str">
            <v>ITALIA</v>
          </cell>
          <cell r="J299" t="str">
            <v>348-6902459</v>
          </cell>
        </row>
        <row r="300">
          <cell r="B300">
            <v>6964</v>
          </cell>
          <cell r="C300" t="str">
            <v>BLASI SILVANO</v>
          </cell>
          <cell r="D300" t="str">
            <v>BLSSVN60L17L049I</v>
          </cell>
          <cell r="E300" t="str">
            <v>VIA LUPOLI, 3</v>
          </cell>
          <cell r="F300">
            <v>74121</v>
          </cell>
          <cell r="G300" t="str">
            <v>TARANTO</v>
          </cell>
          <cell r="H300" t="str">
            <v>TA</v>
          </cell>
          <cell r="I300" t="str">
            <v>ITALIA</v>
          </cell>
          <cell r="J300" t="str">
            <v>347-7765202</v>
          </cell>
        </row>
        <row r="301">
          <cell r="B301">
            <v>3980</v>
          </cell>
          <cell r="C301" t="str">
            <v>BLISS COFFEE  VENDING S.R.L.</v>
          </cell>
          <cell r="D301" t="str">
            <v>02564720346 02564720346</v>
          </cell>
          <cell r="E301" t="str">
            <v>VIA BORGO XX MARZO, 20</v>
          </cell>
          <cell r="F301">
            <v>43121</v>
          </cell>
          <cell r="G301" t="str">
            <v>PARMA</v>
          </cell>
          <cell r="H301" t="str">
            <v>PR</v>
          </cell>
          <cell r="I301" t="str">
            <v>ITALIA</v>
          </cell>
          <cell r="J301" t="str">
            <v xml:space="preserve">0521-1895523 </v>
          </cell>
        </row>
        <row r="302">
          <cell r="B302">
            <v>6917</v>
          </cell>
          <cell r="C302" t="str">
            <v>BLUE DRINK S.R.L.S.</v>
          </cell>
          <cell r="D302" t="str">
            <v>01475670111 01475670111</v>
          </cell>
          <cell r="E302" t="str">
            <v>VIA PALMARIA, 4</v>
          </cell>
          <cell r="F302">
            <v>19126</v>
          </cell>
          <cell r="G302" t="str">
            <v>LA SPEZIA</v>
          </cell>
          <cell r="H302" t="str">
            <v>SP</v>
          </cell>
          <cell r="I302" t="str">
            <v>ITALIA</v>
          </cell>
          <cell r="J302" t="str">
            <v>335-6126507</v>
          </cell>
        </row>
        <row r="303">
          <cell r="B303">
            <v>6920</v>
          </cell>
          <cell r="C303" t="str">
            <v>BLUE MAROC SARL</v>
          </cell>
          <cell r="D303" t="str">
            <v>3308405</v>
          </cell>
          <cell r="E303" t="str">
            <v>AV. ADDOLB, 86, SECT 13, BLOQ Q10, HAY RYAD</v>
          </cell>
          <cell r="F303"/>
          <cell r="G303" t="str">
            <v>RABAT</v>
          </cell>
          <cell r="I303" t="str">
            <v>MAROCCO</v>
          </cell>
          <cell r="J303" t="str">
            <v>0537-673561</v>
          </cell>
        </row>
        <row r="304">
          <cell r="B304">
            <v>6532</v>
          </cell>
          <cell r="C304" t="str">
            <v>BMS FAST S.R.L.</v>
          </cell>
          <cell r="D304" t="str">
            <v>26733013</v>
          </cell>
          <cell r="E304" t="str">
            <v>STR. ARGES, 4 - JUD.  NEAMT</v>
          </cell>
          <cell r="F304">
            <v>610053</v>
          </cell>
          <cell r="G304" t="str">
            <v>PIATRA NEAMT</v>
          </cell>
          <cell r="I304" t="str">
            <v>ROMANIA</v>
          </cell>
          <cell r="J304" t="str">
            <v>328-2715502</v>
          </cell>
        </row>
        <row r="305">
          <cell r="B305">
            <v>4642</v>
          </cell>
          <cell r="C305" t="str">
            <v>BOBO S.R.L.</v>
          </cell>
          <cell r="D305" t="str">
            <v>11185500011 11185500011</v>
          </cell>
          <cell r="E305" t="str">
            <v>CORSO BERNARDINO  TELESIO, 68</v>
          </cell>
          <cell r="F305">
            <v>10146</v>
          </cell>
          <cell r="G305" t="str">
            <v>TORINO</v>
          </cell>
          <cell r="H305" t="str">
            <v>TO</v>
          </cell>
          <cell r="I305" t="str">
            <v>ITALIA</v>
          </cell>
          <cell r="J305" t="str">
            <v>333-4254726</v>
          </cell>
        </row>
        <row r="306">
          <cell r="B306">
            <v>7325</v>
          </cell>
          <cell r="C306" t="str">
            <v>BOCCI MOIRA</v>
          </cell>
          <cell r="D306" t="str">
            <v>BCCMRO90H68A25 2P</v>
          </cell>
          <cell r="E306" t="str">
            <v>VIA DELLA PACE 41</v>
          </cell>
          <cell r="F306">
            <v>63087</v>
          </cell>
          <cell r="G306" t="str">
            <v>COMUNANZA</v>
          </cell>
          <cell r="H306" t="str">
            <v>AP</v>
          </cell>
          <cell r="I306" t="str">
            <v>ITALIA</v>
          </cell>
          <cell r="J306" t="str">
            <v>339-5022362</v>
          </cell>
        </row>
        <row r="307">
          <cell r="B307">
            <v>366</v>
          </cell>
          <cell r="C307" t="str">
            <v>BODINI  DOMENICO</v>
          </cell>
          <cell r="D307" t="str">
            <v>01677870121 BDNDNC50L24L777 Y</v>
          </cell>
          <cell r="E307" t="str">
            <v>VIA ALFREDO DI DIO, 3</v>
          </cell>
          <cell r="F307">
            <v>21057</v>
          </cell>
          <cell r="G307" t="str">
            <v>OLGIATE OLONA</v>
          </cell>
          <cell r="H307" t="str">
            <v>VA</v>
          </cell>
          <cell r="I307" t="str">
            <v>ITALIA</v>
          </cell>
          <cell r="J307" t="str">
            <v>0331-642588</v>
          </cell>
        </row>
        <row r="308">
          <cell r="B308">
            <v>7161</v>
          </cell>
          <cell r="C308" t="str">
            <v>BODY LINE FITNESS S.A. S.</v>
          </cell>
          <cell r="D308" t="str">
            <v>01939520985 01939520985</v>
          </cell>
          <cell r="E308" t="str">
            <v>VIA BORGO, 1/E</v>
          </cell>
          <cell r="F308">
            <v>25021</v>
          </cell>
          <cell r="G308" t="str">
            <v>BAGNOLO MELLA</v>
          </cell>
          <cell r="H308" t="str">
            <v>BS</v>
          </cell>
          <cell r="I308" t="str">
            <v>ITALIA</v>
          </cell>
          <cell r="J308" t="str">
            <v>030-621921</v>
          </cell>
        </row>
        <row r="309">
          <cell r="B309">
            <v>6380</v>
          </cell>
          <cell r="C309" t="str">
            <v>BOGLIONI S.A.S. DI  BOGLIONI BARBARA  &amp; C.</v>
          </cell>
          <cell r="D309" t="str">
            <v>08675760014 08675760014</v>
          </cell>
          <cell r="E309" t="str">
            <v>CASCINA RIO MARTINO  PICCOLO,21</v>
          </cell>
          <cell r="F309">
            <v>10088</v>
          </cell>
          <cell r="G309" t="str">
            <v>VOLPIANO</v>
          </cell>
          <cell r="H309" t="str">
            <v>TO</v>
          </cell>
          <cell r="I309" t="str">
            <v>ITALIA</v>
          </cell>
          <cell r="J309" t="str">
            <v>011-9139066</v>
          </cell>
        </row>
        <row r="310">
          <cell r="B310">
            <v>7240</v>
          </cell>
          <cell r="C310" t="str">
            <v>BOI MASSIMO</v>
          </cell>
          <cell r="D310" t="str">
            <v>BOIMSM74C16C627 R</v>
          </cell>
          <cell r="E310" t="str">
            <v>VIA ALDO MORO 2N</v>
          </cell>
          <cell r="F310">
            <v>14022</v>
          </cell>
          <cell r="G310" t="str">
            <v>CASTELNUOVO  DON BOSCO</v>
          </cell>
          <cell r="H310" t="str">
            <v>AT</v>
          </cell>
          <cell r="I310" t="str">
            <v>ITALIA</v>
          </cell>
          <cell r="J310" t="str">
            <v>347-9135003</v>
          </cell>
        </row>
        <row r="311">
          <cell r="B311">
            <v>7248</v>
          </cell>
          <cell r="C311" t="str">
            <v>BOIANI LUCIANO</v>
          </cell>
          <cell r="D311" t="str">
            <v>BNOLCN61M25Z110 Z</v>
          </cell>
          <cell r="E311" t="str">
            <v>VIA MANCINI 30</v>
          </cell>
          <cell r="F311">
            <v>61122</v>
          </cell>
          <cell r="G311" t="str">
            <v>PESARO</v>
          </cell>
          <cell r="H311" t="str">
            <v>PU</v>
          </cell>
          <cell r="I311" t="str">
            <v>ITALIA</v>
          </cell>
          <cell r="J311" t="str">
            <v>335-7448271</v>
          </cell>
        </row>
        <row r="312">
          <cell r="B312">
            <v>4520</v>
          </cell>
          <cell r="C312" t="str">
            <v>BOLDINI  AUTONOLEGGIO S.R. L.</v>
          </cell>
          <cell r="D312" t="str">
            <v>08302730968 08302730968</v>
          </cell>
          <cell r="E312" t="str">
            <v>VIA LONATE, 97</v>
          </cell>
          <cell r="F312">
            <v>20022</v>
          </cell>
          <cell r="G312" t="str">
            <v>CASTANO PRIMO</v>
          </cell>
          <cell r="H312" t="str">
            <v>MI</v>
          </cell>
          <cell r="I312" t="str">
            <v>ITALIA</v>
          </cell>
          <cell r="J312" t="str">
            <v>347-2924579</v>
          </cell>
        </row>
        <row r="313">
          <cell r="B313">
            <v>1589</v>
          </cell>
          <cell r="C313" t="str">
            <v>BOLLARDI DOTT.  GIOVANNI</v>
          </cell>
          <cell r="D313" t="str">
            <v>01797240122 BLLGNN62E31B300 O</v>
          </cell>
          <cell r="E313" t="str">
            <v>VIA SAN MICHELE, 18</v>
          </cell>
          <cell r="F313">
            <v>21052</v>
          </cell>
          <cell r="G313" t="str">
            <v>BUSTO ARSIZIO</v>
          </cell>
          <cell r="H313" t="str">
            <v>VA</v>
          </cell>
          <cell r="I313" t="str">
            <v>ITALIA</v>
          </cell>
          <cell r="J313" t="str">
            <v>0331-635395</v>
          </cell>
        </row>
        <row r="314">
          <cell r="B314">
            <v>4528</v>
          </cell>
          <cell r="C314" t="str">
            <v>BOLLICINE REWIND  S.R.L.S.</v>
          </cell>
          <cell r="D314" t="str">
            <v>02240210993 02240210993</v>
          </cell>
          <cell r="E314" t="str">
            <v>VIA ISOLONA, 20</v>
          </cell>
          <cell r="F314">
            <v>16044</v>
          </cell>
          <cell r="G314" t="str">
            <v>CICAGNA</v>
          </cell>
          <cell r="H314" t="str">
            <v>GE</v>
          </cell>
          <cell r="I314" t="str">
            <v>ITALIA</v>
          </cell>
          <cell r="J314" t="str">
            <v>0185-971038</v>
          </cell>
        </row>
        <row r="315">
          <cell r="B315">
            <v>7238</v>
          </cell>
          <cell r="C315" t="str">
            <v>BOLOGNINI SANDRA</v>
          </cell>
          <cell r="D315" t="str">
            <v>BLGSDR66P41F952 C</v>
          </cell>
          <cell r="E315" t="str">
            <v>CORSO ROMA 76</v>
          </cell>
          <cell r="F315">
            <v>28069</v>
          </cell>
          <cell r="G315" t="str">
            <v>TRECATE</v>
          </cell>
          <cell r="H315" t="str">
            <v>NO</v>
          </cell>
          <cell r="I315" t="str">
            <v>ITALIA</v>
          </cell>
          <cell r="J315" t="str">
            <v>340-0019590</v>
          </cell>
        </row>
        <row r="316">
          <cell r="B316">
            <v>4465</v>
          </cell>
          <cell r="C316" t="str">
            <v>BON RISTORO S.R.L.</v>
          </cell>
          <cell r="D316" t="str">
            <v>02210930976 02210930976</v>
          </cell>
          <cell r="E316" t="str">
            <v>VIA LIONE, 8</v>
          </cell>
          <cell r="F316">
            <v>59100</v>
          </cell>
          <cell r="G316" t="str">
            <v>PRATO</v>
          </cell>
          <cell r="H316" t="str">
            <v>PO</v>
          </cell>
          <cell r="I316" t="str">
            <v>ITALIA</v>
          </cell>
          <cell r="J316" t="str">
            <v>0574-757408</v>
          </cell>
        </row>
        <row r="317">
          <cell r="B317">
            <v>6476</v>
          </cell>
          <cell r="C317" t="str">
            <v>BONACCORSO  MASSIMO</v>
          </cell>
          <cell r="D317" t="str">
            <v>08604830961 BNCMSM73A01C35 1L</v>
          </cell>
          <cell r="E317" t="str">
            <v>VIA PIEMONTE, 3</v>
          </cell>
          <cell r="F317">
            <v>20081</v>
          </cell>
          <cell r="G317" t="str">
            <v>ABBIATEGRASSO</v>
          </cell>
          <cell r="H317" t="str">
            <v>MI</v>
          </cell>
          <cell r="I317" t="str">
            <v>ITALIA</v>
          </cell>
          <cell r="J317" t="str">
            <v>393-8385239</v>
          </cell>
        </row>
        <row r="318">
          <cell r="B318">
            <v>6533</v>
          </cell>
          <cell r="C318" t="str">
            <v>BONAIUTO  CHRISTIAN</v>
          </cell>
          <cell r="D318" t="str">
            <v>BNTCRS71M27G224 C</v>
          </cell>
          <cell r="E318" t="str">
            <v>VIA AI CAMPI, 21</v>
          </cell>
          <cell r="F318">
            <v>22040</v>
          </cell>
          <cell r="G318" t="str">
            <v>BRENNA</v>
          </cell>
          <cell r="H318" t="str">
            <v>CO</v>
          </cell>
          <cell r="I318" t="str">
            <v>ITALIA</v>
          </cell>
          <cell r="J318" t="str">
            <v>347-3710884</v>
          </cell>
        </row>
        <row r="319">
          <cell r="B319">
            <v>7386</v>
          </cell>
          <cell r="C319" t="str">
            <v>BONANNO SONIA</v>
          </cell>
          <cell r="D319" t="str">
            <v>12373520019 BNNSNO73T52D122 J</v>
          </cell>
          <cell r="E319" t="str">
            <v>PIAZZA DERNA 236/C</v>
          </cell>
          <cell r="F319">
            <v>10100</v>
          </cell>
          <cell r="G319" t="str">
            <v>TORINO</v>
          </cell>
          <cell r="H319" t="str">
            <v>TO</v>
          </cell>
          <cell r="I319" t="str">
            <v>ITALIA</v>
          </cell>
          <cell r="J319" t="str">
            <v>392-1229690</v>
          </cell>
        </row>
        <row r="320">
          <cell r="B320">
            <v>7250</v>
          </cell>
          <cell r="C320" t="str">
            <v>BONARDI MAURILIO</v>
          </cell>
          <cell r="D320" t="str">
            <v>BNRMRL65P13A859 Y</v>
          </cell>
          <cell r="E320" t="str">
            <v>VIA PIETRO CORTE 26</v>
          </cell>
          <cell r="F320">
            <v>13811</v>
          </cell>
          <cell r="G320" t="str">
            <v>ANDORNO  MICCA</v>
          </cell>
          <cell r="H320" t="str">
            <v>BI</v>
          </cell>
          <cell r="I320" t="str">
            <v>ITALIA</v>
          </cell>
          <cell r="J320" t="str">
            <v>340-8370726</v>
          </cell>
        </row>
        <row r="321">
          <cell r="B321">
            <v>7174</v>
          </cell>
          <cell r="C321" t="str">
            <v>BONFIGLIO ELISA</v>
          </cell>
          <cell r="D321" t="str">
            <v>BNFLSE92P66A089A</v>
          </cell>
          <cell r="E321" t="str">
            <v>VIA GRACEFFO, 61-63</v>
          </cell>
          <cell r="F321">
            <v>92100</v>
          </cell>
          <cell r="G321" t="str">
            <v>AGRIGENTO</v>
          </cell>
          <cell r="H321" t="str">
            <v>AG</v>
          </cell>
          <cell r="I321" t="str">
            <v>ITALIA</v>
          </cell>
          <cell r="J321" t="str">
            <v>366-7312071</v>
          </cell>
        </row>
        <row r="322">
          <cell r="B322">
            <v>5583</v>
          </cell>
          <cell r="C322" t="str">
            <v>BONGIORNO  ANDREA</v>
          </cell>
          <cell r="D322" t="str">
            <v>08758370012 BNGNDR72B01L219 S</v>
          </cell>
          <cell r="E322" t="str">
            <v>VIA NAZARIO SAURO, 15</v>
          </cell>
          <cell r="F322">
            <v>10040</v>
          </cell>
          <cell r="G322" t="str">
            <v>RIVALTA DI  TORINO</v>
          </cell>
          <cell r="H322" t="str">
            <v>TO</v>
          </cell>
          <cell r="I322" t="str">
            <v>ITALIA</v>
          </cell>
          <cell r="J322" t="str">
            <v xml:space="preserve">011-9015375 </v>
          </cell>
        </row>
        <row r="323">
          <cell r="B323">
            <v>7452</v>
          </cell>
          <cell r="C323" t="str">
            <v>BONI MAKSUEL</v>
          </cell>
          <cell r="D323" t="str">
            <v>BNOMSL87R19Z602 E</v>
          </cell>
          <cell r="E323" t="str">
            <v>VIA ALBA, 38</v>
          </cell>
          <cell r="F323">
            <v>10024</v>
          </cell>
          <cell r="G323" t="str">
            <v>MONCALIERI</v>
          </cell>
          <cell r="H323" t="str">
            <v>TO</v>
          </cell>
          <cell r="I323" t="str">
            <v>ITALIA</v>
          </cell>
          <cell r="J323" t="str">
            <v>388-2557221</v>
          </cell>
        </row>
        <row r="324">
          <cell r="B324">
            <v>7170</v>
          </cell>
          <cell r="C324" t="str">
            <v>BONI MARIAGRAZIA</v>
          </cell>
          <cell r="D324" t="str">
            <v>BNOMGR62S46E542 M</v>
          </cell>
          <cell r="E324" t="str">
            <v>VIA AURELIA, 95</v>
          </cell>
          <cell r="F324">
            <v>19033</v>
          </cell>
          <cell r="G324" t="str">
            <v>CASTELNUOVOM AGRA</v>
          </cell>
          <cell r="H324" t="str">
            <v>SP</v>
          </cell>
          <cell r="I324" t="str">
            <v>ITALIA</v>
          </cell>
          <cell r="J324" t="str">
            <v>348-6975033</v>
          </cell>
        </row>
        <row r="325">
          <cell r="B325">
            <v>7139</v>
          </cell>
          <cell r="C325" t="str">
            <v>BONICALZI  COSTRUZIONI SRL</v>
          </cell>
          <cell r="D325" t="str">
            <v>00681740122 00681740122</v>
          </cell>
          <cell r="E325" t="str">
            <v>CORSO SEMPIONE, 13/a</v>
          </cell>
          <cell r="F325">
            <v>21013</v>
          </cell>
          <cell r="G325" t="str">
            <v>GALLARATE</v>
          </cell>
          <cell r="H325" t="str">
            <v>VA</v>
          </cell>
          <cell r="I325" t="str">
            <v>ITALIA</v>
          </cell>
          <cell r="J325" t="str">
            <v>0331-782770</v>
          </cell>
        </row>
        <row r="326">
          <cell r="B326">
            <v>6546</v>
          </cell>
          <cell r="C326" t="str">
            <v>BONO  CARROZZERIA SNC</v>
          </cell>
          <cell r="D326" t="str">
            <v>02794270047 02794270047</v>
          </cell>
          <cell r="E326" t="str">
            <v>STRADA REALE, 73</v>
          </cell>
          <cell r="F326">
            <v>12030</v>
          </cell>
          <cell r="G326" t="str">
            <v>CARAMAGNA   PIEMONTE</v>
          </cell>
          <cell r="H326" t="str">
            <v>CN</v>
          </cell>
          <cell r="I326" t="str">
            <v>ITALIA</v>
          </cell>
        </row>
        <row r="327">
          <cell r="B327">
            <v>7146</v>
          </cell>
          <cell r="C327" t="str">
            <v>BONOMO  FRANCESCO</v>
          </cell>
          <cell r="D327" t="str">
            <v>BNMFNC84P24L418F</v>
          </cell>
          <cell r="E327" t="str">
            <v>VIA IL COLLE, 10/O</v>
          </cell>
          <cell r="F327">
            <v>47853</v>
          </cell>
          <cell r="G327" t="str">
            <v>CORIANO</v>
          </cell>
          <cell r="H327" t="str">
            <v>RN</v>
          </cell>
          <cell r="I327" t="str">
            <v>ITALIA</v>
          </cell>
          <cell r="J327" t="str">
            <v>328-1053499</v>
          </cell>
        </row>
        <row r="328">
          <cell r="B328">
            <v>7110</v>
          </cell>
          <cell r="C328" t="str">
            <v>BONY BAR DI  SUZZANI STEFANO  E GIANLUCA</v>
          </cell>
          <cell r="D328" t="str">
            <v>09800550965 SZZSFN92S15F205 U</v>
          </cell>
          <cell r="E328" t="str">
            <v>VIA NEGROLI, 13</v>
          </cell>
          <cell r="F328">
            <v>20133</v>
          </cell>
          <cell r="G328" t="str">
            <v>MILANO</v>
          </cell>
          <cell r="H328" t="str">
            <v>MI</v>
          </cell>
          <cell r="I328" t="str">
            <v>ITALIA</v>
          </cell>
          <cell r="J328" t="str">
            <v>02-71090070</v>
          </cell>
        </row>
        <row r="329">
          <cell r="B329">
            <v>4652</v>
          </cell>
          <cell r="C329" t="str">
            <v>BORDINO MARCO</v>
          </cell>
          <cell r="D329" t="str">
            <v>09494750012 BRDMRC67B13L219 K</v>
          </cell>
          <cell r="E329" t="str">
            <v>C.SO REGINA  MARGHERITA, 82/A</v>
          </cell>
          <cell r="F329">
            <v>10153</v>
          </cell>
          <cell r="G329" t="str">
            <v>TORINO</v>
          </cell>
          <cell r="H329" t="str">
            <v>TO</v>
          </cell>
          <cell r="I329" t="str">
            <v>ITALIA</v>
          </cell>
          <cell r="J329" t="str">
            <v>347-0674374</v>
          </cell>
        </row>
        <row r="330">
          <cell r="B330">
            <v>7101</v>
          </cell>
          <cell r="C330" t="str">
            <v>BORRIELLO MARZIA</v>
          </cell>
          <cell r="D330" t="str">
            <v>BRRMRZ73S57F704 Z</v>
          </cell>
          <cell r="E330" t="str">
            <v>VIA MASSIMO D'AZEGLIO, 30</v>
          </cell>
          <cell r="F330">
            <v>20852</v>
          </cell>
          <cell r="G330" t="str">
            <v>VILLASANTA</v>
          </cell>
          <cell r="H330" t="str">
            <v>MB</v>
          </cell>
          <cell r="I330" t="str">
            <v>ITALIA</v>
          </cell>
          <cell r="J330" t="str">
            <v>392-052507</v>
          </cell>
        </row>
        <row r="331">
          <cell r="B331">
            <v>7291</v>
          </cell>
          <cell r="C331" t="str">
            <v>BOSCHIROLI  ALESSANDRO</v>
          </cell>
          <cell r="D331" t="str">
            <v>BSCLSN78A01I628 Z</v>
          </cell>
          <cell r="E331" t="str">
            <v>VIA VOLTA 7</v>
          </cell>
          <cell r="F331">
            <v>24050</v>
          </cell>
          <cell r="G331" t="str">
            <v>CAVERNAGO</v>
          </cell>
          <cell r="H331" t="str">
            <v>BG</v>
          </cell>
          <cell r="I331" t="str">
            <v>ITALIA</v>
          </cell>
          <cell r="J331" t="str">
            <v>349-1084480</v>
          </cell>
        </row>
        <row r="332">
          <cell r="B332">
            <v>5060</v>
          </cell>
          <cell r="C332" t="str">
            <v>BOSCO S.R.L.</v>
          </cell>
          <cell r="D332" t="str">
            <v>05982070012</v>
          </cell>
          <cell r="E332" t="str">
            <v>STRADA COMUNALE  DELLA PELLERINA, 27</v>
          </cell>
          <cell r="F332">
            <v>10146</v>
          </cell>
          <cell r="G332" t="str">
            <v>TORINO</v>
          </cell>
          <cell r="H332" t="str">
            <v>TO</v>
          </cell>
          <cell r="I332" t="str">
            <v>ITALIA</v>
          </cell>
          <cell r="J332" t="str">
            <v>011-725735</v>
          </cell>
        </row>
        <row r="333">
          <cell r="B333">
            <v>2366</v>
          </cell>
          <cell r="C333" t="str">
            <v>BOSCOLO  GRAZIANO</v>
          </cell>
          <cell r="D333" t="str">
            <v>BSCGZN42E05C638 H</v>
          </cell>
          <cell r="E333" t="str">
            <v>VIA ANDREA CISI, 2</v>
          </cell>
          <cell r="F333">
            <v>10149</v>
          </cell>
          <cell r="G333" t="str">
            <v>TORINO</v>
          </cell>
          <cell r="H333" t="str">
            <v>TO</v>
          </cell>
          <cell r="I333" t="str">
            <v>ITALIA</v>
          </cell>
          <cell r="J333" t="str">
            <v>011-7392482</v>
          </cell>
        </row>
        <row r="334">
          <cell r="B334">
            <v>7837</v>
          </cell>
          <cell r="C334" t="str">
            <v>BOTTEGA DEL CAFFE'</v>
          </cell>
          <cell r="E334" t="str">
            <v>VIA SAN RINALDO, 11</v>
          </cell>
          <cell r="F334">
            <v>20863</v>
          </cell>
          <cell r="G334" t="str">
            <v>CONCOREZZO</v>
          </cell>
          <cell r="H334" t="str">
            <v>MB</v>
          </cell>
          <cell r="I334" t="str">
            <v>ITALIA</v>
          </cell>
          <cell r="J334" t="str">
            <v>327-9098991</v>
          </cell>
        </row>
        <row r="335">
          <cell r="B335">
            <v>6844</v>
          </cell>
          <cell r="C335" t="str">
            <v>BOTTEGA DEL CAFFE' DI SCALABRINI  CRISTIANA</v>
          </cell>
          <cell r="D335" t="str">
            <v>04157580160 SCLCST75B44D548 V</v>
          </cell>
          <cell r="E335" t="str">
            <v>VIA ABATE CRIPPA, 1</v>
          </cell>
          <cell r="F335">
            <v>24047</v>
          </cell>
          <cell r="G335" t="str">
            <v>TREVIGLIO</v>
          </cell>
          <cell r="H335" t="str">
            <v>BG</v>
          </cell>
          <cell r="I335" t="str">
            <v>ITALIA</v>
          </cell>
        </row>
        <row r="336">
          <cell r="B336">
            <v>7695</v>
          </cell>
          <cell r="C336" t="str">
            <v>BOTTEGA DEL CAFFE' DI SIMBARI DOMENICO</v>
          </cell>
          <cell r="E336" t="str">
            <v>VIA MILANO, 26</v>
          </cell>
          <cell r="F336">
            <v>7695</v>
          </cell>
          <cell r="G336" t="str">
            <v>MEDIGLIA</v>
          </cell>
          <cell r="H336" t="str">
            <v>MI</v>
          </cell>
          <cell r="I336" t="str">
            <v>ITALIA</v>
          </cell>
          <cell r="J336" t="str">
            <v>349-2598512</v>
          </cell>
        </row>
        <row r="337">
          <cell r="B337">
            <v>6650</v>
          </cell>
          <cell r="C337" t="str">
            <v>BOTTEGA DEL CAFFE' DI VILLA  ALESSANDRO</v>
          </cell>
          <cell r="D337" t="str">
            <v>02498420039 VLLLSN79L12I690A</v>
          </cell>
          <cell r="E337" t="str">
            <v>VIALE KENNEDY, 87</v>
          </cell>
          <cell r="F337">
            <v>28021</v>
          </cell>
          <cell r="G337" t="str">
            <v>BORGOMANERO</v>
          </cell>
          <cell r="H337" t="str">
            <v>NO</v>
          </cell>
          <cell r="I337" t="str">
            <v>ITALIA</v>
          </cell>
          <cell r="J337" t="str">
            <v>349-6180585</v>
          </cell>
        </row>
        <row r="338">
          <cell r="B338">
            <v>6428</v>
          </cell>
          <cell r="C338" t="str">
            <v>BOTTEGA DEL CAFFE' S.R.L.</v>
          </cell>
          <cell r="D338" t="str">
            <v>11617330011 11617330011</v>
          </cell>
          <cell r="E338" t="str">
            <v>CORSO TORINO, 9</v>
          </cell>
          <cell r="F338">
            <v>10090</v>
          </cell>
          <cell r="G338" t="str">
            <v>BUTTIGLIERA  ALTA</v>
          </cell>
          <cell r="H338" t="str">
            <v>TO</v>
          </cell>
          <cell r="I338" t="str">
            <v>ITALIA</v>
          </cell>
          <cell r="J338" t="str">
            <v>346-7583487</v>
          </cell>
        </row>
        <row r="339">
          <cell r="B339">
            <v>6827</v>
          </cell>
          <cell r="C339" t="str">
            <v>BOTTEGA DEL CAFFE' S.R.L.</v>
          </cell>
          <cell r="D339" t="str">
            <v>09499380963 09499380963</v>
          </cell>
          <cell r="E339" t="str">
            <v>VIA G. D'ANNUNZIO, 2B</v>
          </cell>
          <cell r="F339">
            <v>20835</v>
          </cell>
          <cell r="G339" t="str">
            <v>MUGGIO'</v>
          </cell>
          <cell r="H339" t="str">
            <v>MB</v>
          </cell>
          <cell r="I339" t="str">
            <v>ITALIA</v>
          </cell>
          <cell r="J339" t="str">
            <v>345-4164274</v>
          </cell>
        </row>
        <row r="340">
          <cell r="B340">
            <v>6816</v>
          </cell>
          <cell r="C340" t="str">
            <v>BOTTI JURI</v>
          </cell>
          <cell r="D340" t="str">
            <v>02590080996 BTTJRU94D29C469 H</v>
          </cell>
          <cell r="E340" t="str">
            <v>VIA DON GIOVANNI  VERITA' 14R</v>
          </cell>
          <cell r="F340">
            <v>16158</v>
          </cell>
          <cell r="G340" t="str">
            <v>GENOVA</v>
          </cell>
          <cell r="H340" t="str">
            <v>GE</v>
          </cell>
          <cell r="I340" t="str">
            <v>ITALIA</v>
          </cell>
          <cell r="J340" t="str">
            <v>010-8596697</v>
          </cell>
        </row>
        <row r="341">
          <cell r="B341">
            <v>4024</v>
          </cell>
          <cell r="C341" t="str">
            <v>BOUTIC CAFFE'</v>
          </cell>
          <cell r="D341" t="str">
            <v>09967980013 09967980013</v>
          </cell>
          <cell r="E341" t="str">
            <v>VIA MONGINEVRO, 8</v>
          </cell>
          <cell r="F341">
            <v>10138</v>
          </cell>
          <cell r="G341" t="str">
            <v>TORINO</v>
          </cell>
          <cell r="H341" t="str">
            <v>TO</v>
          </cell>
          <cell r="I341" t="str">
            <v>ITALIA</v>
          </cell>
          <cell r="J341" t="str">
            <v>011-4474504</v>
          </cell>
        </row>
        <row r="342">
          <cell r="B342">
            <v>6961</v>
          </cell>
          <cell r="C342" t="str">
            <v>BOUTIQUE CAFE' DI  CARLO SIMIONATO</v>
          </cell>
          <cell r="D342" t="str">
            <v>12264730016 SMNCRL72P13L219 D</v>
          </cell>
          <cell r="E342" t="str">
            <v>VIA AMATI GAETANO,  116/2</v>
          </cell>
          <cell r="F342">
            <v>10078</v>
          </cell>
          <cell r="G342" t="str">
            <v>VENARIA REALE</v>
          </cell>
          <cell r="H342" t="str">
            <v>TO</v>
          </cell>
          <cell r="I342" t="str">
            <v>ITALIA</v>
          </cell>
          <cell r="J342" t="str">
            <v>334-1876497</v>
          </cell>
        </row>
        <row r="343">
          <cell r="B343">
            <v>7493</v>
          </cell>
          <cell r="C343" t="str">
            <v>BOVE GERARDO</v>
          </cell>
          <cell r="D343" t="str">
            <v>BVOGRD68M18H70 3L</v>
          </cell>
          <cell r="E343" t="str">
            <v>VIA BERNARDINO  TELESIO, 22</v>
          </cell>
          <cell r="F343">
            <v>20145</v>
          </cell>
          <cell r="G343" t="str">
            <v>MILANO</v>
          </cell>
          <cell r="H343" t="str">
            <v>MI</v>
          </cell>
          <cell r="I343" t="str">
            <v>ITALIA</v>
          </cell>
          <cell r="J343" t="str">
            <v>338-7976359</v>
          </cell>
        </row>
        <row r="344">
          <cell r="B344">
            <v>4274</v>
          </cell>
          <cell r="C344" t="str">
            <v>BP CAFFE' DI  BRUNO PALOMBO</v>
          </cell>
          <cell r="D344" t="str">
            <v>03459920041 PLMBRN60A08L750T</v>
          </cell>
          <cell r="E344" t="str">
            <v>VIA BLANGETTI, 26</v>
          </cell>
          <cell r="F344">
            <v>12080</v>
          </cell>
          <cell r="G344" t="str">
            <v>PIANFEI</v>
          </cell>
          <cell r="H344" t="str">
            <v>CN</v>
          </cell>
          <cell r="I344" t="str">
            <v>ITALIA</v>
          </cell>
          <cell r="J344" t="str">
            <v>334-9757635</v>
          </cell>
        </row>
        <row r="345">
          <cell r="B345">
            <v>2228</v>
          </cell>
          <cell r="C345" t="str">
            <v>BRACCO &amp; RINALDI  S.N.C. DI BRACCO  GABRIELLA E C.</v>
          </cell>
          <cell r="D345" t="str">
            <v>00314160045 00314160045</v>
          </cell>
          <cell r="E345" t="str">
            <v>VIA CIRCONVALLAZIONE,  2</v>
          </cell>
          <cell r="F345">
            <v>12061</v>
          </cell>
          <cell r="G345" t="str">
            <v>CARRU'</v>
          </cell>
          <cell r="H345" t="str">
            <v>CN</v>
          </cell>
          <cell r="I345" t="str">
            <v>ITALIA</v>
          </cell>
          <cell r="J345" t="str">
            <v>0173-75178</v>
          </cell>
        </row>
        <row r="346">
          <cell r="B346">
            <v>5988</v>
          </cell>
          <cell r="C346" t="str">
            <v>BRAIDA CLAUDIO  IMP.SPIL.BIRRA  VINI BIBITE</v>
          </cell>
          <cell r="D346" t="str">
            <v>09105680012 BRDCLD65S30E379 E</v>
          </cell>
          <cell r="E346" t="str">
            <v>VIA G. GIACOSA, 6</v>
          </cell>
          <cell r="F346">
            <v>10010</v>
          </cell>
          <cell r="G346" t="str">
            <v>COLLERETTO  GIACOSA</v>
          </cell>
          <cell r="H346" t="str">
            <v>TO</v>
          </cell>
          <cell r="I346" t="str">
            <v>ITALIA</v>
          </cell>
          <cell r="J346" t="str">
            <v>348-2639430</v>
          </cell>
        </row>
        <row r="347">
          <cell r="B347">
            <v>6884</v>
          </cell>
          <cell r="C347" t="str">
            <v>BRAIN VP SHPK</v>
          </cell>
          <cell r="D347" t="str">
            <v>L91415035J</v>
          </cell>
          <cell r="E347" t="str">
            <v>FREDERIK SHIROKA  STREET</v>
          </cell>
          <cell r="F347">
            <v>1000</v>
          </cell>
          <cell r="G347" t="str">
            <v>TIRANA</v>
          </cell>
          <cell r="I347" t="str">
            <v>ALBANIA</v>
          </cell>
          <cell r="J347" t="str">
            <v>00355- 676054147</v>
          </cell>
        </row>
        <row r="348">
          <cell r="B348">
            <v>4621</v>
          </cell>
          <cell r="C348" t="str">
            <v>BRASILIA SERVICE  DI CALIGIORE  MARCO S.</v>
          </cell>
          <cell r="D348" t="str">
            <v>03562790133 CLGMCS77H04E507 U</v>
          </cell>
          <cell r="E348" t="str">
            <v>VIA PER IMBERIDO, 10</v>
          </cell>
          <cell r="F348">
            <v>23848</v>
          </cell>
          <cell r="G348" t="str">
            <v>OGGIONO</v>
          </cell>
          <cell r="H348" t="str">
            <v>LC</v>
          </cell>
          <cell r="I348" t="str">
            <v>ITALIA</v>
          </cell>
          <cell r="J348" t="str">
            <v>349-7728380</v>
          </cell>
        </row>
        <row r="349">
          <cell r="B349">
            <v>3040</v>
          </cell>
          <cell r="C349" t="str">
            <v>BRASILIA SERVICE S.N.C.</v>
          </cell>
          <cell r="D349" t="str">
            <v>03083580138 03083580138</v>
          </cell>
          <cell r="E349" t="str">
            <v>VIA PER IMBERIDO, 10</v>
          </cell>
          <cell r="F349">
            <v>23848</v>
          </cell>
          <cell r="G349" t="str">
            <v>OGGIONO</v>
          </cell>
          <cell r="H349" t="str">
            <v>LC</v>
          </cell>
          <cell r="I349" t="str">
            <v>ITALIA</v>
          </cell>
          <cell r="J349" t="str">
            <v>0341-577518</v>
          </cell>
        </row>
        <row r="350">
          <cell r="B350">
            <v>2076</v>
          </cell>
          <cell r="C350" t="str">
            <v>BRASILIAMODA. COM DI MINALI U. &amp;  F.LLI S.N.C.</v>
          </cell>
          <cell r="D350" t="str">
            <v>03054250166 03054250166</v>
          </cell>
          <cell r="E350" t="str">
            <v>VIA G.B. MORONI, 12</v>
          </cell>
          <cell r="F350">
            <v>24122</v>
          </cell>
          <cell r="G350" t="str">
            <v>BERGAMO</v>
          </cell>
          <cell r="H350" t="str">
            <v>BG</v>
          </cell>
          <cell r="I350" t="str">
            <v>ITALIA</v>
          </cell>
          <cell r="J350" t="str">
            <v>035-237598</v>
          </cell>
        </row>
        <row r="351">
          <cell r="B351">
            <v>4951</v>
          </cell>
          <cell r="C351" t="str">
            <v>BRASILMOKA S.R.L.</v>
          </cell>
          <cell r="D351" t="str">
            <v>00920130143</v>
          </cell>
          <cell r="E351" t="str">
            <v>VIA NAZIONALE, 42</v>
          </cell>
          <cell r="F351">
            <v>23030</v>
          </cell>
          <cell r="G351" t="str">
            <v>VILLA DI TIRANO</v>
          </cell>
          <cell r="H351" t="str">
            <v>SO</v>
          </cell>
          <cell r="I351" t="str">
            <v>ITALIA</v>
          </cell>
          <cell r="J351" t="str">
            <v>0342-795027</v>
          </cell>
        </row>
        <row r="352">
          <cell r="B352">
            <v>1417</v>
          </cell>
          <cell r="C352" t="str">
            <v>BREAK DI CASTI  SIMONE</v>
          </cell>
          <cell r="D352" t="str">
            <v>03759940103 CSTSMN72B27D969 T</v>
          </cell>
          <cell r="E352" t="str">
            <v>VIA SOLIMAN, 5 R</v>
          </cell>
          <cell r="F352">
            <v>16154</v>
          </cell>
          <cell r="G352" t="str">
            <v>GENOVA -  SESTRI PONENTE</v>
          </cell>
          <cell r="H352" t="str">
            <v>GE</v>
          </cell>
          <cell r="I352" t="str">
            <v>ITALIA</v>
          </cell>
          <cell r="J352" t="str">
            <v>392-0478142</v>
          </cell>
        </row>
        <row r="353">
          <cell r="B353">
            <v>3176</v>
          </cell>
          <cell r="C353" t="str">
            <v>BREAK DI CITTERIO  DENIS</v>
          </cell>
          <cell r="D353" t="str">
            <v>06182180965 CTTDNS75L27F704 Z</v>
          </cell>
          <cell r="E353" t="str">
            <v>VIA DEI PIOPPI, 17</v>
          </cell>
          <cell r="F353">
            <v>20841</v>
          </cell>
          <cell r="G353" t="str">
            <v>CARATE  BRIANZA</v>
          </cell>
          <cell r="H353" t="str">
            <v>MB</v>
          </cell>
          <cell r="I353" t="str">
            <v>ITALIA</v>
          </cell>
          <cell r="J353" t="str">
            <v>0362-909425</v>
          </cell>
        </row>
        <row r="354">
          <cell r="B354">
            <v>6556</v>
          </cell>
          <cell r="C354" t="str">
            <v>BREAK EXPRESS DI  LO BELLO GIUSEPPE</v>
          </cell>
          <cell r="D354" t="str">
            <v>11826940014 LBLGPP87L17L219P</v>
          </cell>
          <cell r="E354" t="str">
            <v>VIA UMBERTO GIORDANO, 12</v>
          </cell>
          <cell r="F354">
            <v>10155</v>
          </cell>
          <cell r="G354" t="str">
            <v>TORINO</v>
          </cell>
          <cell r="H354" t="str">
            <v>TO</v>
          </cell>
          <cell r="I354" t="str">
            <v>ITALIA</v>
          </cell>
          <cell r="J354" t="str">
            <v>345-8562495</v>
          </cell>
        </row>
        <row r="355">
          <cell r="B355">
            <v>4885</v>
          </cell>
          <cell r="C355" t="str">
            <v>BREAK FIT DI  BALDUCCI DANIELE</v>
          </cell>
          <cell r="D355" t="str">
            <v>09567020962 BLDDNL81L01A010 B</v>
          </cell>
          <cell r="E355" t="str">
            <v>VIA BERGAMO, 23</v>
          </cell>
          <cell r="F355">
            <v>20020</v>
          </cell>
          <cell r="G355" t="str">
            <v>LAINATE</v>
          </cell>
          <cell r="H355" t="str">
            <v>MI</v>
          </cell>
          <cell r="I355" t="str">
            <v>ITALIA</v>
          </cell>
          <cell r="J355" t="str">
            <v>333-5036890</v>
          </cell>
        </row>
        <row r="356">
          <cell r="B356">
            <v>1986</v>
          </cell>
          <cell r="C356" t="str">
            <v>BREAK LINE S.R.L.</v>
          </cell>
          <cell r="D356" t="str">
            <v>06170170721</v>
          </cell>
          <cell r="E356" t="str">
            <v>VIA ANDREA DA BARI, 38</v>
          </cell>
          <cell r="F356">
            <v>70122</v>
          </cell>
          <cell r="G356" t="str">
            <v>BARI</v>
          </cell>
          <cell r="H356" t="str">
            <v>BA</v>
          </cell>
          <cell r="I356" t="str">
            <v>ITALIA</v>
          </cell>
          <cell r="J356" t="str">
            <v>080-5036221</v>
          </cell>
        </row>
        <row r="357">
          <cell r="B357">
            <v>4608</v>
          </cell>
          <cell r="C357" t="str">
            <v>BREAK LOVE IT  S.R.L.</v>
          </cell>
          <cell r="D357" t="str">
            <v>08662800963 08662800963</v>
          </cell>
          <cell r="E357" t="str">
            <v>VIA TOSCANINI, 9</v>
          </cell>
          <cell r="F357">
            <v>20066</v>
          </cell>
          <cell r="G357" t="str">
            <v>MELZO</v>
          </cell>
          <cell r="H357" t="str">
            <v>MI</v>
          </cell>
          <cell r="I357" t="str">
            <v>ITALIA</v>
          </cell>
          <cell r="J357" t="str">
            <v>02-95732313</v>
          </cell>
        </row>
        <row r="358">
          <cell r="B358">
            <v>1224</v>
          </cell>
          <cell r="C358" t="str">
            <v>BREAK POINT S.R.L.</v>
          </cell>
          <cell r="D358" t="str">
            <v>10333610151 10333610151</v>
          </cell>
          <cell r="E358" t="str">
            <v>VIA REGALDI, 2/C</v>
          </cell>
          <cell r="F358">
            <v>28100</v>
          </cell>
          <cell r="G358" t="str">
            <v>NOVARA</v>
          </cell>
          <cell r="H358" t="str">
            <v>NO</v>
          </cell>
          <cell r="I358" t="str">
            <v>ITALIA</v>
          </cell>
          <cell r="J358" t="str">
            <v>02-97288321</v>
          </cell>
        </row>
        <row r="359">
          <cell r="B359">
            <v>6501</v>
          </cell>
          <cell r="C359" t="str">
            <v>BREAK SERVICE DI  LODESANI ALBERTO</v>
          </cell>
          <cell r="D359" t="str">
            <v>03393070366 LDSLRT69M29F257Y</v>
          </cell>
          <cell r="E359" t="str">
            <v>VIA TURATI, 14</v>
          </cell>
          <cell r="F359">
            <v>41122</v>
          </cell>
          <cell r="G359" t="str">
            <v>MODENA</v>
          </cell>
          <cell r="H359" t="str">
            <v>MO</v>
          </cell>
          <cell r="I359" t="str">
            <v>ITALIA</v>
          </cell>
          <cell r="J359" t="str">
            <v>339-3468980</v>
          </cell>
        </row>
        <row r="360">
          <cell r="B360">
            <v>4001</v>
          </cell>
          <cell r="C360" t="str">
            <v>BREAK SERVICE S.R. L.</v>
          </cell>
          <cell r="D360" t="str">
            <v>02411720184 02411720184</v>
          </cell>
          <cell r="E360" t="str">
            <v>VIA GIOVANNI PAOLO II,  10</v>
          </cell>
          <cell r="F360">
            <v>27029</v>
          </cell>
          <cell r="G360" t="str">
            <v>VIGEVANO</v>
          </cell>
          <cell r="H360" t="str">
            <v>PV</v>
          </cell>
          <cell r="I360" t="str">
            <v>ITALIA</v>
          </cell>
          <cell r="J360" t="str">
            <v xml:space="preserve">0381-095396 </v>
          </cell>
        </row>
        <row r="361">
          <cell r="B361">
            <v>3472</v>
          </cell>
          <cell r="C361" t="str">
            <v>BREAK SHOP DI  RICCARDO PEIROTTI</v>
          </cell>
          <cell r="D361" t="str">
            <v>03151490137 PRTRCR73D25A940 L</v>
          </cell>
          <cell r="E361" t="str">
            <v>VIA DELLE RIMEMBRANZE, 28</v>
          </cell>
          <cell r="F361">
            <v>22035</v>
          </cell>
          <cell r="G361" t="str">
            <v>CANZO</v>
          </cell>
          <cell r="H361" t="str">
            <v>CO</v>
          </cell>
          <cell r="I361" t="str">
            <v>ITALIA</v>
          </cell>
          <cell r="J361" t="str">
            <v>0341-350598</v>
          </cell>
        </row>
        <row r="362">
          <cell r="B362">
            <v>4302</v>
          </cell>
          <cell r="C362" t="str">
            <v>BREAK SOLUTION S. A.S.</v>
          </cell>
          <cell r="D362" t="str">
            <v>10692260010 10692260010</v>
          </cell>
          <cell r="E362" t="str">
            <v>VIA LEONARDO DA VINCI, 5</v>
          </cell>
          <cell r="F362">
            <v>13854</v>
          </cell>
          <cell r="G362" t="str">
            <v>QUAREGNA</v>
          </cell>
          <cell r="H362" t="str">
            <v>BI</v>
          </cell>
          <cell r="I362" t="str">
            <v>ITALIA</v>
          </cell>
          <cell r="J362" t="str">
            <v>339-6186714</v>
          </cell>
        </row>
        <row r="363">
          <cell r="B363">
            <v>2704</v>
          </cell>
          <cell r="C363" t="str">
            <v>BREAK TIME  DI  FRANZE' SAVINO</v>
          </cell>
          <cell r="D363" t="str">
            <v>03003020132 FRNSVN65B06B319 A</v>
          </cell>
          <cell r="E363" t="str">
            <v>VIA DELL' INDUSTRIA, 90</v>
          </cell>
          <cell r="F363">
            <v>22070</v>
          </cell>
          <cell r="G363" t="str">
            <v>CASSINA  RIZZARDI</v>
          </cell>
          <cell r="H363" t="str">
            <v>CO</v>
          </cell>
          <cell r="I363" t="str">
            <v>ITALIA</v>
          </cell>
          <cell r="J363" t="str">
            <v>347-7889980</v>
          </cell>
        </row>
        <row r="364">
          <cell r="B364">
            <v>4168</v>
          </cell>
          <cell r="C364" t="str">
            <v>BREAK TIME DI  BORGO ANDREA</v>
          </cell>
          <cell r="D364" t="str">
            <v>02227840069 BRGNDR65L04L570 E</v>
          </cell>
          <cell r="E364" t="str">
            <v>VIA SAFFI, 31</v>
          </cell>
          <cell r="F364">
            <v>15033</v>
          </cell>
          <cell r="G364" t="str">
            <v>CASALE  MONFERRATO</v>
          </cell>
          <cell r="H364" t="str">
            <v>AL</v>
          </cell>
          <cell r="I364" t="str">
            <v>ITALIA</v>
          </cell>
          <cell r="J364" t="str">
            <v>346-6643277</v>
          </cell>
        </row>
        <row r="365">
          <cell r="B365">
            <v>10068</v>
          </cell>
          <cell r="C365" t="str">
            <v>BREAK TIME DI SANDRIN LUCA</v>
          </cell>
          <cell r="E365" t="str">
            <v>VIA BENVENUTO CELLINI, 2</v>
          </cell>
          <cell r="F365">
            <v>21052</v>
          </cell>
          <cell r="G365" t="str">
            <v>BUSTO ARSIZIO</v>
          </cell>
          <cell r="H365" t="str">
            <v>VA</v>
          </cell>
          <cell r="I365" t="str">
            <v>ITALIA</v>
          </cell>
          <cell r="J365" t="str">
            <v>324-9826084</v>
          </cell>
        </row>
        <row r="366">
          <cell r="B366">
            <v>3339</v>
          </cell>
          <cell r="C366" t="str">
            <v>BREAK TIME S.N.C.  DI BIANCHI M. &amp;  TOMA' E.</v>
          </cell>
          <cell r="D366" t="str">
            <v>04058440480 04058440480</v>
          </cell>
          <cell r="E366" t="str">
            <v>VIA F. CORRIDONI, 60/E</v>
          </cell>
          <cell r="F366">
            <v>50134</v>
          </cell>
          <cell r="G366" t="str">
            <v>FIRENZE</v>
          </cell>
          <cell r="H366" t="str">
            <v>FI</v>
          </cell>
          <cell r="I366" t="str">
            <v>ITALIA</v>
          </cell>
          <cell r="J366" t="str">
            <v xml:space="preserve">055-472820 </v>
          </cell>
        </row>
        <row r="367">
          <cell r="B367">
            <v>6990</v>
          </cell>
          <cell r="C367" t="str">
            <v>BREAKTIME DI  JURJIU ANGELA</v>
          </cell>
          <cell r="D367" t="str">
            <v>02626080069 JRJNGL70E46Z140R</v>
          </cell>
          <cell r="E367" t="str">
            <v>VIA SAFFI, 31</v>
          </cell>
          <cell r="F367">
            <v>15033</v>
          </cell>
          <cell r="G367" t="str">
            <v>CASALE  MONFERRATO</v>
          </cell>
          <cell r="H367" t="str">
            <v>AL</v>
          </cell>
          <cell r="I367" t="str">
            <v>ITALIA</v>
          </cell>
          <cell r="J367" t="str">
            <v>366-6468755</v>
          </cell>
        </row>
        <row r="368">
          <cell r="B368">
            <v>2385</v>
          </cell>
          <cell r="C368" t="str">
            <v>BREAK-TIME DI  SORIANI PAOLO</v>
          </cell>
          <cell r="D368" t="str">
            <v>02550270967 SRNPGV66S13F704 Q</v>
          </cell>
          <cell r="E368" t="str">
            <v>VIA BERGAMO, 84</v>
          </cell>
          <cell r="F368">
            <v>20082</v>
          </cell>
          <cell r="G368" t="str">
            <v>BELLUSCO</v>
          </cell>
          <cell r="H368" t="str">
            <v>MB</v>
          </cell>
          <cell r="I368" t="str">
            <v>ITALIA</v>
          </cell>
          <cell r="J368" t="str">
            <v xml:space="preserve">039-6022764 </v>
          </cell>
        </row>
        <row r="369">
          <cell r="B369">
            <v>6452</v>
          </cell>
          <cell r="C369" t="str">
            <v>BREKCAF DI GIULIA  MORMILE</v>
          </cell>
          <cell r="D369" t="str">
            <v>03640610923 MRMGLI64E61B354 X</v>
          </cell>
          <cell r="E369" t="str">
            <v>VIA PUCCINI, 43</v>
          </cell>
          <cell r="F369">
            <v>9128</v>
          </cell>
          <cell r="G369" t="str">
            <v>CAGLIARI</v>
          </cell>
          <cell r="H369" t="str">
            <v>CA</v>
          </cell>
          <cell r="I369" t="str">
            <v>ITALIA</v>
          </cell>
          <cell r="J369" t="str">
            <v xml:space="preserve">070-487531 </v>
          </cell>
        </row>
        <row r="370">
          <cell r="B370">
            <v>8817</v>
          </cell>
          <cell r="C370" t="str">
            <v>BRENDA SERVICE DI BRENDA RADOSAVLJEVIC</v>
          </cell>
          <cell r="E370" t="str">
            <v>VIA MANZONI,2</v>
          </cell>
          <cell r="F370">
            <v>28064</v>
          </cell>
          <cell r="G370" t="str">
            <v>CAPRIGNANO SESIA</v>
          </cell>
          <cell r="H370" t="str">
            <v>NO</v>
          </cell>
          <cell r="I370" t="str">
            <v>ITALIA</v>
          </cell>
          <cell r="J370" t="str">
            <v>327-5918687</v>
          </cell>
        </row>
        <row r="371">
          <cell r="B371">
            <v>3370</v>
          </cell>
          <cell r="C371" t="str">
            <v>BRESSAN LUCA</v>
          </cell>
          <cell r="D371" t="str">
            <v>06350620966 BRSLCU83L11D912 S</v>
          </cell>
          <cell r="E371" t="str">
            <v>VIA SAN GIUSEPPE, 1  LOC. VILL. BROLLO</v>
          </cell>
          <cell r="F371">
            <v>20020</v>
          </cell>
          <cell r="G371" t="str">
            <v>SOLARO</v>
          </cell>
          <cell r="H371" t="str">
            <v>MI</v>
          </cell>
          <cell r="I371" t="str">
            <v>ITALIA</v>
          </cell>
          <cell r="J371" t="str">
            <v>338-4884614</v>
          </cell>
        </row>
        <row r="372">
          <cell r="B372">
            <v>2386</v>
          </cell>
          <cell r="C372" t="str">
            <v>BRIANTEA DUEMILA  S.R.L.</v>
          </cell>
          <cell r="D372" t="str">
            <v>00846310969 07095460155</v>
          </cell>
          <cell r="E372" t="str">
            <v>VIA DELL' ARTIGIANATO,  25/27</v>
          </cell>
          <cell r="F372">
            <v>20863</v>
          </cell>
          <cell r="G372" t="str">
            <v>CONCOREZZO</v>
          </cell>
          <cell r="H372" t="str">
            <v>MB</v>
          </cell>
          <cell r="I372" t="str">
            <v>ITALIA</v>
          </cell>
          <cell r="J372" t="str">
            <v>039-6042831</v>
          </cell>
        </row>
        <row r="373">
          <cell r="B373">
            <v>2041</v>
          </cell>
          <cell r="C373" t="str">
            <v>BRIANZA CAFFE' DI  ZAPPA MARCO &amp; C.  S.N.C.</v>
          </cell>
          <cell r="D373" t="str">
            <v>04543040960 04543040960</v>
          </cell>
          <cell r="E373" t="str">
            <v>VIA DEI MILLE, 48</v>
          </cell>
          <cell r="F373">
            <v>20035</v>
          </cell>
          <cell r="G373" t="str">
            <v>LISSONE</v>
          </cell>
          <cell r="H373" t="str">
            <v>MB</v>
          </cell>
          <cell r="I373" t="str">
            <v>ITALIA</v>
          </cell>
          <cell r="J373" t="str">
            <v xml:space="preserve">039-2455616 </v>
          </cell>
        </row>
        <row r="374">
          <cell r="B374">
            <v>7436</v>
          </cell>
          <cell r="C374" t="str">
            <v>BRIANZA CIALDE DI  SPAZIOSO ELIO</v>
          </cell>
          <cell r="D374" t="str">
            <v>09814580966 SPZLEI85D01F704K</v>
          </cell>
          <cell r="E374" t="str">
            <v>VIA GIOBERTI, 45</v>
          </cell>
          <cell r="F374">
            <v>20851</v>
          </cell>
          <cell r="G374" t="str">
            <v>LISSONE</v>
          </cell>
          <cell r="H374" t="str">
            <v>MB</v>
          </cell>
          <cell r="I374" t="str">
            <v>ITALIA</v>
          </cell>
          <cell r="J374" t="str">
            <v>328-6313914</v>
          </cell>
        </row>
        <row r="375">
          <cell r="B375">
            <v>2338</v>
          </cell>
          <cell r="C375" t="str">
            <v>BRIO SERVICE S.R.L.</v>
          </cell>
          <cell r="D375" t="str">
            <v>02956950139 02956950139</v>
          </cell>
          <cell r="E375" t="str">
            <v>VIA ROMA, 21</v>
          </cell>
          <cell r="F375">
            <v>22070</v>
          </cell>
          <cell r="G375" t="str">
            <v>SENNA  COMASCO</v>
          </cell>
          <cell r="H375" t="str">
            <v>CO</v>
          </cell>
          <cell r="I375" t="str">
            <v>ITALIA</v>
          </cell>
          <cell r="J375" t="str">
            <v xml:space="preserve">zio </v>
          </cell>
        </row>
        <row r="376">
          <cell r="B376">
            <v>7524</v>
          </cell>
          <cell r="C376" t="str">
            <v>BROCCHIERI  MATTEO</v>
          </cell>
          <cell r="D376" t="str">
            <v>BRCMTT88T01F205 B</v>
          </cell>
          <cell r="E376" t="str">
            <v>VIA ROMA 246</v>
          </cell>
          <cell r="F376">
            <v>27010</v>
          </cell>
          <cell r="G376" t="str">
            <v>GIUSSAGO</v>
          </cell>
          <cell r="H376" t="str">
            <v>PV</v>
          </cell>
          <cell r="I376" t="str">
            <v>ITALIA</v>
          </cell>
          <cell r="J376" t="str">
            <v>333-5084565</v>
          </cell>
        </row>
        <row r="377">
          <cell r="B377">
            <v>1012</v>
          </cell>
          <cell r="C377" t="str">
            <v>BROLPITO AUGUSTO</v>
          </cell>
          <cell r="D377" t="str">
            <v>BRLGST33B11E514 S</v>
          </cell>
          <cell r="E377" t="str">
            <v>VIA MORGANI, 14</v>
          </cell>
          <cell r="F377">
            <v>21051</v>
          </cell>
          <cell r="G377" t="str">
            <v>ARCISATE</v>
          </cell>
          <cell r="H377" t="str">
            <v>VA</v>
          </cell>
          <cell r="I377" t="str">
            <v>ITALIA</v>
          </cell>
        </row>
        <row r="378">
          <cell r="B378">
            <v>4083</v>
          </cell>
          <cell r="C378" t="str">
            <v>BRT INVESTIMENTI  S.R.L.</v>
          </cell>
          <cell r="D378" t="str">
            <v>09714280014 09714280014</v>
          </cell>
          <cell r="E378" t="str">
            <v>VIA PELLICE, 19</v>
          </cell>
          <cell r="F378">
            <v>10060</v>
          </cell>
          <cell r="G378" t="str">
            <v>NONE</v>
          </cell>
          <cell r="H378" t="str">
            <v>TO</v>
          </cell>
          <cell r="I378" t="str">
            <v>ITALIA</v>
          </cell>
          <cell r="J378" t="str">
            <v>346-2850790</v>
          </cell>
        </row>
        <row r="379">
          <cell r="B379">
            <v>4680</v>
          </cell>
          <cell r="C379" t="str">
            <v>BRUNO MATTEO</v>
          </cell>
          <cell r="D379" t="str">
            <v>10973560013 BRNMTT73B13L219 S</v>
          </cell>
          <cell r="E379" t="str">
            <v>VIA I MAGGIO, 76</v>
          </cell>
          <cell r="F379">
            <v>10070</v>
          </cell>
          <cell r="G379" t="str">
            <v>GROSSO  CANAVESE</v>
          </cell>
          <cell r="H379" t="str">
            <v>TO</v>
          </cell>
          <cell r="I379" t="str">
            <v>ITALIA</v>
          </cell>
        </row>
        <row r="380">
          <cell r="B380">
            <v>7062</v>
          </cell>
          <cell r="C380" t="str">
            <v>BRUSAFERRI  FRANCESCO</v>
          </cell>
          <cell r="D380" t="str">
            <v>BRSFNC66H11F205 O</v>
          </cell>
          <cell r="E380" t="str">
            <v>VIA ENRICO FERMI, 11</v>
          </cell>
          <cell r="F380">
            <v>20014</v>
          </cell>
          <cell r="G380" t="str">
            <v>NERVIANO</v>
          </cell>
          <cell r="H380" t="str">
            <v>MI</v>
          </cell>
          <cell r="I380" t="str">
            <v>ITALIA</v>
          </cell>
          <cell r="J380" t="str">
            <v>320-9633268</v>
          </cell>
        </row>
        <row r="381">
          <cell r="B381">
            <v>7298</v>
          </cell>
          <cell r="C381" t="str">
            <v>BRUZZESE  DOMENICO</v>
          </cell>
          <cell r="D381" t="str">
            <v>BRZDNC64P01G905 X</v>
          </cell>
          <cell r="E381" t="str">
            <v>VIA BORGARO 64/4</v>
          </cell>
          <cell r="F381">
            <v>10079</v>
          </cell>
          <cell r="G381" t="str">
            <v>MAPPANO</v>
          </cell>
          <cell r="H381" t="str">
            <v>TO</v>
          </cell>
          <cell r="I381" t="str">
            <v>ITALIA</v>
          </cell>
          <cell r="J381" t="str">
            <v>392-4339848</v>
          </cell>
        </row>
        <row r="382">
          <cell r="B382">
            <v>7815</v>
          </cell>
          <cell r="C382" t="str">
            <v>BSHOP24 DI BARBERA GIUSEPPE</v>
          </cell>
          <cell r="E382" t="str">
            <v>CORSO VALPARAISO,62</v>
          </cell>
          <cell r="F382">
            <v>16043</v>
          </cell>
          <cell r="G382" t="str">
            <v>CHIAVARI</v>
          </cell>
          <cell r="H382" t="str">
            <v>GE</v>
          </cell>
          <cell r="I382" t="str">
            <v>ITALIA</v>
          </cell>
          <cell r="J382" t="str">
            <v>339-2899529</v>
          </cell>
        </row>
        <row r="383">
          <cell r="B383">
            <v>7219</v>
          </cell>
          <cell r="C383" t="str">
            <v>BUFFOLINO  ANTONINO</v>
          </cell>
          <cell r="D383" t="str">
            <v>BFFNNN56L16D386 G</v>
          </cell>
          <cell r="E383" t="str">
            <v>VIA VERDI, 38</v>
          </cell>
          <cell r="F383">
            <v>21021</v>
          </cell>
          <cell r="G383" t="str">
            <v>ANGERA</v>
          </cell>
          <cell r="H383" t="str">
            <v>VA</v>
          </cell>
          <cell r="I383" t="str">
            <v>ITALIA</v>
          </cell>
          <cell r="J383" t="str">
            <v>340-0524058</v>
          </cell>
        </row>
        <row r="384">
          <cell r="B384">
            <v>7193</v>
          </cell>
          <cell r="C384" t="str">
            <v>BUGATTI  ALESSANDRO</v>
          </cell>
          <cell r="D384" t="str">
            <v>BGTLSN79A31E388 U</v>
          </cell>
          <cell r="E384" t="str">
            <v>VIA BELLINI, 15</v>
          </cell>
          <cell r="F384">
            <v>62018</v>
          </cell>
          <cell r="G384" t="str">
            <v>POTENZA PICENA</v>
          </cell>
          <cell r="H384" t="str">
            <v>MC</v>
          </cell>
          <cell r="I384" t="str">
            <v>ITALIA</v>
          </cell>
          <cell r="J384" t="str">
            <v>329-8132105</v>
          </cell>
        </row>
        <row r="385">
          <cell r="B385">
            <v>7324</v>
          </cell>
          <cell r="C385" t="str">
            <v>BUGO PATRIZIA  MARIA</v>
          </cell>
          <cell r="D385" t="str">
            <v>BGUPRZ69T61E063 C</v>
          </cell>
          <cell r="E385" t="str">
            <v>VIA TEVERE 11</v>
          </cell>
          <cell r="F385">
            <v>20821</v>
          </cell>
          <cell r="G385" t="str">
            <v>MEDA</v>
          </cell>
          <cell r="H385" t="str">
            <v>MB</v>
          </cell>
          <cell r="I385" t="str">
            <v>ITALIA</v>
          </cell>
          <cell r="J385" t="str">
            <v>333-6209934</v>
          </cell>
        </row>
        <row r="386">
          <cell r="B386">
            <v>7272</v>
          </cell>
          <cell r="C386" t="str">
            <v>BULFONE MATTEO</v>
          </cell>
          <cell r="D386" t="str">
            <v>BLFMTT74C16L483Q</v>
          </cell>
          <cell r="E386" t="str">
            <v>VIA CIRENAICHE 8</v>
          </cell>
          <cell r="F386">
            <v>33010</v>
          </cell>
          <cell r="G386" t="str">
            <v>COLLOREDO DI  MONTE ALBANO</v>
          </cell>
          <cell r="H386" t="str">
            <v>UD</v>
          </cell>
          <cell r="I386" t="str">
            <v>ITALIA</v>
          </cell>
          <cell r="J386" t="str">
            <v>348-4290715</v>
          </cell>
        </row>
        <row r="387">
          <cell r="B387">
            <v>6467</v>
          </cell>
          <cell r="C387" t="str">
            <v>BUNGA BUNGA DI  TROFIMOV PAUL</v>
          </cell>
          <cell r="D387" t="str">
            <v>01633370083 TRFPLA67L31Z129K</v>
          </cell>
          <cell r="E387" t="str">
            <v>CORSO ITALIA, 13/15</v>
          </cell>
          <cell r="F387">
            <v>18012</v>
          </cell>
          <cell r="G387" t="str">
            <v>BORDIGHERA</v>
          </cell>
          <cell r="H387" t="str">
            <v>IM</v>
          </cell>
          <cell r="I387" t="str">
            <v>ITALIA</v>
          </cell>
          <cell r="J387" t="str">
            <v xml:space="preserve">0184-260135 </v>
          </cell>
        </row>
        <row r="388">
          <cell r="B388">
            <v>2155</v>
          </cell>
          <cell r="C388" t="str">
            <v>BUONCAFFE' DISTRIBUTORI AUTOMATICI</v>
          </cell>
          <cell r="D388" t="str">
            <v>04172250963 RVTLGU65A09A010 E</v>
          </cell>
          <cell r="E388" t="str">
            <v>VIA SAN GIUSEPPE  COTTOLENGO, 2</v>
          </cell>
          <cell r="F388">
            <v>20080</v>
          </cell>
          <cell r="G388" t="str">
            <v>ALBAIRATE</v>
          </cell>
          <cell r="H388" t="str">
            <v>MI</v>
          </cell>
          <cell r="I388" t="str">
            <v>ITALIA</v>
          </cell>
          <cell r="J388" t="str">
            <v>02-94920000</v>
          </cell>
        </row>
        <row r="389">
          <cell r="B389">
            <v>4733</v>
          </cell>
          <cell r="C389" t="str">
            <v>BUSATO DEBORA</v>
          </cell>
          <cell r="D389" t="str">
            <v>09804230010 BSTDBR67C67A429 E</v>
          </cell>
          <cell r="E389" t="str">
            <v>VIA  ANDREA MASSENA ,  20</v>
          </cell>
          <cell r="F389">
            <v>10100</v>
          </cell>
          <cell r="G389" t="str">
            <v>TORINO</v>
          </cell>
          <cell r="H389" t="str">
            <v>TO</v>
          </cell>
          <cell r="I389" t="str">
            <v>ITALIA</v>
          </cell>
          <cell r="J389" t="str">
            <v>333-7150453</v>
          </cell>
        </row>
        <row r="390">
          <cell r="B390">
            <v>1964</v>
          </cell>
          <cell r="C390" t="str">
            <v>BUSETTO PAOLA</v>
          </cell>
          <cell r="D390" t="str">
            <v>BSTPLA45R71L736 W</v>
          </cell>
          <cell r="E390" t="str">
            <v>VIA LOMBARDIA, 20</v>
          </cell>
          <cell r="F390">
            <v>21029</v>
          </cell>
          <cell r="G390" t="str">
            <v>VERGIATE</v>
          </cell>
          <cell r="H390" t="str">
            <v>VA</v>
          </cell>
          <cell r="I390" t="str">
            <v>ITALIA</v>
          </cell>
        </row>
        <row r="391">
          <cell r="B391">
            <v>2981</v>
          </cell>
          <cell r="C391" t="str">
            <v>BUSIOL FLAVIO</v>
          </cell>
          <cell r="D391" t="str">
            <v>BSLFLV47D12C815 M</v>
          </cell>
          <cell r="E391" t="str">
            <v>VIA BUNIVA, 8</v>
          </cell>
          <cell r="F391">
            <v>10124</v>
          </cell>
          <cell r="G391" t="str">
            <v>TORINO</v>
          </cell>
          <cell r="H391" t="str">
            <v>TO</v>
          </cell>
          <cell r="I391" t="str">
            <v>ITALIA</v>
          </cell>
          <cell r="J391" t="str">
            <v>333-6174961</v>
          </cell>
        </row>
        <row r="392">
          <cell r="B392">
            <v>6613</v>
          </cell>
          <cell r="C392" t="str">
            <v>BUY&amp;GO DI OHAERI  OGADINMA UCHECHI</v>
          </cell>
          <cell r="D392" t="str">
            <v>11324850012 HROGNM76D65Z33 5Y</v>
          </cell>
          <cell r="E392" t="str">
            <v>VIA ALBENGA, 20</v>
          </cell>
          <cell r="F392">
            <v>10100</v>
          </cell>
          <cell r="G392" t="str">
            <v>TORINO</v>
          </cell>
          <cell r="H392" t="str">
            <v>TO</v>
          </cell>
          <cell r="I392" t="str">
            <v>ITALIA</v>
          </cell>
          <cell r="J392" t="str">
            <v>393-0001973</v>
          </cell>
        </row>
        <row r="393">
          <cell r="B393">
            <v>7457</v>
          </cell>
          <cell r="C393" t="str">
            <v>BYOS SNC DI  CLAUDIO  MARCHESINI &amp; C.</v>
          </cell>
          <cell r="D393" t="str">
            <v>02094551203</v>
          </cell>
          <cell r="E393" t="str">
            <v>VIALE GRAMSCI, 151</v>
          </cell>
          <cell r="F393">
            <v>40014</v>
          </cell>
          <cell r="G393" t="str">
            <v>CREVALCORE</v>
          </cell>
          <cell r="H393" t="str">
            <v>BO</v>
          </cell>
          <cell r="I393" t="str">
            <v>ITALIA</v>
          </cell>
          <cell r="J393">
            <v>516800889</v>
          </cell>
        </row>
        <row r="394">
          <cell r="B394">
            <v>6679</v>
          </cell>
          <cell r="C394" t="str">
            <v>C&amp;C CAFFE' DI  ZUCCHI CRISTIANO</v>
          </cell>
          <cell r="D394" t="str">
            <v>01763400338 ZCCCST70E26G388 Q</v>
          </cell>
          <cell r="E394" t="str">
            <v>CORSO MATEOTTI, 57/A</v>
          </cell>
          <cell r="F394">
            <v>29015</v>
          </cell>
          <cell r="G394" t="str">
            <v>CASTEL SAN  GIOVANNI</v>
          </cell>
          <cell r="H394" t="str">
            <v>PC</v>
          </cell>
          <cell r="I394" t="str">
            <v>ITALIA</v>
          </cell>
          <cell r="J394" t="str">
            <v>331-7699778</v>
          </cell>
        </row>
        <row r="395">
          <cell r="B395">
            <v>6939</v>
          </cell>
          <cell r="C395" t="str">
            <v>C.A. SERVICE DI  CESTARO ANNA</v>
          </cell>
          <cell r="D395" t="str">
            <v>02594650026 CSTNNA61C50F839 P</v>
          </cell>
          <cell r="E395" t="str">
            <v>VIALE RIMEMBRANZE, 27</v>
          </cell>
          <cell r="F395">
            <v>13100</v>
          </cell>
          <cell r="G395" t="str">
            <v>VERCELLI</v>
          </cell>
          <cell r="H395" t="str">
            <v>VC</v>
          </cell>
          <cell r="I395" t="str">
            <v>ITALIA</v>
          </cell>
          <cell r="J395" t="str">
            <v>347-2287226</v>
          </cell>
        </row>
        <row r="396">
          <cell r="B396">
            <v>4432</v>
          </cell>
          <cell r="C396" t="str">
            <v>C.A.T. DI RICCIO  ANTONIO</v>
          </cell>
          <cell r="D396" t="str">
            <v>00597950484 RCCNTN42C07D612 I</v>
          </cell>
          <cell r="E396" t="str">
            <v>VIA MANNELLI, 189</v>
          </cell>
          <cell r="F396">
            <v>50100</v>
          </cell>
          <cell r="G396" t="str">
            <v>FIRENZE</v>
          </cell>
          <cell r="H396" t="str">
            <v>FI</v>
          </cell>
          <cell r="I396" t="str">
            <v>ITALIA</v>
          </cell>
          <cell r="J396" t="str">
            <v xml:space="preserve">055-576248 </v>
          </cell>
        </row>
        <row r="397">
          <cell r="B397">
            <v>5847</v>
          </cell>
          <cell r="C397" t="str">
            <v>C.A.T. S.R.L.</v>
          </cell>
          <cell r="D397" t="str">
            <v>03685320016 03685320016</v>
          </cell>
          <cell r="E397" t="str">
            <v>VIA CADUTI SUL LAVORO, 6</v>
          </cell>
          <cell r="F397">
            <v>10043</v>
          </cell>
          <cell r="G397" t="str">
            <v>ORBASSANO</v>
          </cell>
          <cell r="H397" t="str">
            <v>TO</v>
          </cell>
          <cell r="I397" t="str">
            <v>ITALIA</v>
          </cell>
          <cell r="J397" t="str">
            <v>011-9011454</v>
          </cell>
        </row>
        <row r="398">
          <cell r="B398">
            <v>6451</v>
          </cell>
          <cell r="C398" t="str">
            <v>C.D.A. DI LO COCO  MATTEO</v>
          </cell>
          <cell r="D398" t="str">
            <v>10850880013 LCCMTT83A28E379J</v>
          </cell>
          <cell r="E398" t="str">
            <v>VIA NICOLETTA, 9</v>
          </cell>
          <cell r="F398">
            <v>10013</v>
          </cell>
          <cell r="G398" t="str">
            <v>BORGOFRANCO  D'IVREA</v>
          </cell>
          <cell r="H398" t="str">
            <v>TO</v>
          </cell>
          <cell r="I398" t="str">
            <v>ITALIA</v>
          </cell>
          <cell r="J398" t="str">
            <v>340-4942921</v>
          </cell>
        </row>
        <row r="399">
          <cell r="C399" t="str">
            <v>C.D.A. SERVICES DI  STEFANO FIORE</v>
          </cell>
          <cell r="D399" t="str">
            <v>04291300483 FRISFN70R26C296K</v>
          </cell>
          <cell r="E399" t="str">
            <v>VIA PIAN DELLA FONDA,  2/A</v>
          </cell>
          <cell r="F399">
            <v>50031</v>
          </cell>
          <cell r="G399" t="str">
            <v>BARBERINO DI  MUGELLO</v>
          </cell>
          <cell r="H399" t="str">
            <v>FI</v>
          </cell>
          <cell r="I399" t="str">
            <v>ITALIA</v>
          </cell>
          <cell r="J399" t="str">
            <v>055-8471718</v>
          </cell>
        </row>
        <row r="400">
          <cell r="B400">
            <v>3760</v>
          </cell>
          <cell r="C400" t="str">
            <v>C.D.A. VENDING S.R. L.</v>
          </cell>
          <cell r="D400" t="str">
            <v>05910530483 05910530483</v>
          </cell>
          <cell r="E400" t="str">
            <v>VIA SANDRO PERTINI,  103/105</v>
          </cell>
          <cell r="F400">
            <v>50019</v>
          </cell>
          <cell r="G400" t="str">
            <v>SESTO  FIORENTINO</v>
          </cell>
          <cell r="H400" t="str">
            <v>FI</v>
          </cell>
          <cell r="I400" t="str">
            <v>ITALIA</v>
          </cell>
          <cell r="J400" t="str">
            <v>055-8471718</v>
          </cell>
        </row>
        <row r="401">
          <cell r="B401">
            <v>7166</v>
          </cell>
          <cell r="C401" t="str">
            <v>C.D.R. S.R.L. A  SOCIO UNICO</v>
          </cell>
          <cell r="D401" t="str">
            <v>01817100090 01817100090</v>
          </cell>
          <cell r="E401" t="str">
            <v>P.ZA MARCONI, 12/2</v>
          </cell>
          <cell r="F401">
            <v>17022</v>
          </cell>
          <cell r="G401" t="str">
            <v>BORGIO  VEREZZI</v>
          </cell>
          <cell r="H401" t="str">
            <v>SV</v>
          </cell>
          <cell r="I401" t="str">
            <v>ITALIA</v>
          </cell>
          <cell r="J401"/>
        </row>
        <row r="402">
          <cell r="B402">
            <v>6463</v>
          </cell>
          <cell r="C402" t="str">
            <v>C.D.S. DI PAUL  EHUA ANDOH</v>
          </cell>
          <cell r="D402" t="str">
            <v>11716790016 NDHPLH85C25Z318 G</v>
          </cell>
          <cell r="E402" t="str">
            <v>VIA UMBERTO PRIMO I, 15</v>
          </cell>
          <cell r="F402">
            <v>10060</v>
          </cell>
          <cell r="G402" t="str">
            <v>PISCINA</v>
          </cell>
          <cell r="H402" t="str">
            <v>TO</v>
          </cell>
          <cell r="I402" t="str">
            <v>ITALIA</v>
          </cell>
          <cell r="J402" t="str">
            <v>339-4781345</v>
          </cell>
        </row>
        <row r="403">
          <cell r="B403">
            <v>4394</v>
          </cell>
          <cell r="C403" t="str">
            <v>C.F.L. DI MORENA  LORENZO</v>
          </cell>
          <cell r="D403" t="str">
            <v>01356720092 MRNLNZ68M20I480 Z</v>
          </cell>
          <cell r="E403" t="str">
            <v>VIA MARTIRI DELLA  LIBERTA' 3/6</v>
          </cell>
          <cell r="F403">
            <v>12079</v>
          </cell>
          <cell r="G403" t="str">
            <v>SALICETO</v>
          </cell>
          <cell r="H403" t="str">
            <v>CN</v>
          </cell>
          <cell r="I403" t="str">
            <v>ITALIA</v>
          </cell>
          <cell r="J403" t="str">
            <v>347-5865616</v>
          </cell>
        </row>
        <row r="404">
          <cell r="B404">
            <v>2860</v>
          </cell>
          <cell r="C404" t="str">
            <v>C.G.C. 2007 DI  CARTA GIUSEPPE</v>
          </cell>
          <cell r="D404" t="str">
            <v>05701240961</v>
          </cell>
          <cell r="E404" t="str">
            <v>VICOLO BRIANZA, 1</v>
          </cell>
          <cell r="F404">
            <v>20060</v>
          </cell>
          <cell r="G404" t="str">
            <v>BASIANO</v>
          </cell>
          <cell r="H404" t="str">
            <v>MI</v>
          </cell>
          <cell r="I404" t="str">
            <v>ITALIA</v>
          </cell>
        </row>
        <row r="405">
          <cell r="B405">
            <v>8499</v>
          </cell>
          <cell r="C405" t="str">
            <v xml:space="preserve">C.G.R. DISTRIBUZIONE S.R.L. </v>
          </cell>
          <cell r="E405" t="str">
            <v xml:space="preserve">VIA MATTEOTTI,1 </v>
          </cell>
          <cell r="F405">
            <v>87050</v>
          </cell>
          <cell r="G405" t="str">
            <v>ROVITO</v>
          </cell>
          <cell r="H405" t="str">
            <v>CS</v>
          </cell>
          <cell r="I405" t="str">
            <v>ITALIA</v>
          </cell>
          <cell r="J405" t="str">
            <v>0984-651277</v>
          </cell>
        </row>
        <row r="406">
          <cell r="B406">
            <v>1376</v>
          </cell>
          <cell r="C406" t="str">
            <v>C.I.D.A. DI  CALTABIANO AMALIA</v>
          </cell>
          <cell r="D406" t="str">
            <v>03297060109 CLTMLA52H54C351 C</v>
          </cell>
          <cell r="E406" t="str">
            <v>VIA ROBINO, 11/ROSSO</v>
          </cell>
          <cell r="F406">
            <v>16100</v>
          </cell>
          <cell r="G406" t="str">
            <v>GENOVA</v>
          </cell>
          <cell r="H406" t="str">
            <v>GE</v>
          </cell>
          <cell r="I406" t="str">
            <v>ITALIA</v>
          </cell>
          <cell r="J406" t="str">
            <v>010-877996</v>
          </cell>
        </row>
        <row r="407">
          <cell r="B407">
            <v>4940</v>
          </cell>
          <cell r="C407" t="str">
            <v>C.M.A. DI  GUBERNATI  ANNAROSA</v>
          </cell>
          <cell r="D407" t="str">
            <v>01802700029 GBRNRS74S53A859 X</v>
          </cell>
          <cell r="E407" t="str">
            <v>VIA PIAVE 9/A</v>
          </cell>
          <cell r="F407">
            <v>13894</v>
          </cell>
          <cell r="G407" t="str">
            <v>GAGLIANICO</v>
          </cell>
          <cell r="H407" t="str">
            <v>BI</v>
          </cell>
          <cell r="I407" t="str">
            <v>ITALIA</v>
          </cell>
          <cell r="J407" t="str">
            <v>349-6294488</v>
          </cell>
        </row>
        <row r="408">
          <cell r="B408">
            <v>4616</v>
          </cell>
          <cell r="C408" t="str">
            <v>C.O.D.A. VENDING</v>
          </cell>
          <cell r="D408" t="str">
            <v>10809260010 10809260010</v>
          </cell>
          <cell r="E408" t="str">
            <v>VIA NAZIONALE, 19</v>
          </cell>
          <cell r="F408">
            <v>10020</v>
          </cell>
          <cell r="G408" t="str">
            <v>CAMBIANO</v>
          </cell>
          <cell r="H408" t="str">
            <v>TO</v>
          </cell>
          <cell r="I408" t="str">
            <v>ITALIA</v>
          </cell>
          <cell r="J408" t="str">
            <v>011-9665980</v>
          </cell>
        </row>
        <row r="409">
          <cell r="B409">
            <v>4285</v>
          </cell>
          <cell r="C409" t="str">
            <v>C.T.R.  DI DEL  GIUDICE ANDREA</v>
          </cell>
          <cell r="D409" t="str">
            <v>10842370016 DLGNDR83B19B729 Z</v>
          </cell>
          <cell r="E409" t="str">
            <v>VIA DUCCIO GALIMBERTI, 67/1</v>
          </cell>
          <cell r="F409">
            <v>10040</v>
          </cell>
          <cell r="G409" t="str">
            <v>PIOBESI  TORINESE</v>
          </cell>
          <cell r="H409" t="str">
            <v>TO</v>
          </cell>
          <cell r="I409" t="str">
            <v>ITALIA</v>
          </cell>
          <cell r="J409" t="str">
            <v xml:space="preserve">011-9690559 </v>
          </cell>
        </row>
        <row r="410">
          <cell r="B410">
            <v>3131</v>
          </cell>
          <cell r="C410" t="str">
            <v>C.T.R. S.N.C. DI  ORFEO ANTONIO E  ORFEO DAVIDE</v>
          </cell>
          <cell r="D410" t="str">
            <v>06136530968 06136530968</v>
          </cell>
          <cell r="E410" t="str">
            <v>VIA CRISTOFORO  COLOMBO, 15</v>
          </cell>
          <cell r="F410">
            <v>20822</v>
          </cell>
          <cell r="G410" t="str">
            <v>SEVESO</v>
          </cell>
          <cell r="H410" t="str">
            <v>MB</v>
          </cell>
          <cell r="I410" t="str">
            <v>ITALIA</v>
          </cell>
          <cell r="J410" t="str">
            <v>0362-505484</v>
          </cell>
        </row>
        <row r="411">
          <cell r="B411">
            <v>4442</v>
          </cell>
          <cell r="C411" t="str">
            <v>CA-BE S.N.C. DI  CALAMIA  BENEDETTO</v>
          </cell>
          <cell r="D411" t="str">
            <v>01892580505 01892580505</v>
          </cell>
          <cell r="E411" t="str">
            <v>VIA V. ALFIERI, 12</v>
          </cell>
          <cell r="F411">
            <v>56028</v>
          </cell>
          <cell r="G411" t="str">
            <v>SAN MINIATO  BASSO</v>
          </cell>
          <cell r="H411" t="str">
            <v>PI</v>
          </cell>
          <cell r="I411" t="str">
            <v>ITALIA</v>
          </cell>
          <cell r="J411" t="str">
            <v>335-5284175</v>
          </cell>
        </row>
        <row r="412">
          <cell r="B412">
            <v>7261</v>
          </cell>
          <cell r="C412" t="str">
            <v>CACCIANDRA  SONIA SETTIMIA</v>
          </cell>
          <cell r="D412" t="str">
            <v>CCCSST63P45F205 S</v>
          </cell>
          <cell r="E412" t="str">
            <v>VIA FEDERICO TESIO 1</v>
          </cell>
          <cell r="F412">
            <v>20151</v>
          </cell>
          <cell r="G412" t="str">
            <v>MILANO</v>
          </cell>
          <cell r="H412" t="str">
            <v>MI</v>
          </cell>
          <cell r="I412" t="str">
            <v>ITALIA</v>
          </cell>
          <cell r="J412" t="str">
            <v>348-2516065</v>
          </cell>
        </row>
        <row r="413">
          <cell r="B413">
            <v>6965</v>
          </cell>
          <cell r="C413" t="str">
            <v>CACCIAPUOTI  GENOVEFFA</v>
          </cell>
          <cell r="D413" t="str">
            <v>CCCGVF84E45A512 X</v>
          </cell>
          <cell r="E413" t="str">
            <v>VIA PAGANINI, 13</v>
          </cell>
          <cell r="F413">
            <v>41030</v>
          </cell>
          <cell r="G413" t="str">
            <v>San prospero</v>
          </cell>
          <cell r="H413" t="str">
            <v>MO</v>
          </cell>
          <cell r="I413" t="str">
            <v>ITALIA</v>
          </cell>
          <cell r="J413" t="str">
            <v>346-5944483</v>
          </cell>
        </row>
        <row r="414">
          <cell r="B414">
            <v>6534</v>
          </cell>
          <cell r="C414" t="str">
            <v>CAD CONSULTING S. N.C. DI ADA PILUSO  &amp; C.</v>
          </cell>
          <cell r="D414" t="str">
            <v>02415160122 02415160122</v>
          </cell>
          <cell r="E414" t="str">
            <v>VIA DEGLI ISARCI, 8/A</v>
          </cell>
          <cell r="F414">
            <v>21051</v>
          </cell>
          <cell r="G414" t="str">
            <v>ARCISATE</v>
          </cell>
          <cell r="H414" t="str">
            <v>VA</v>
          </cell>
          <cell r="I414" t="str">
            <v>ITALIA</v>
          </cell>
        </row>
        <row r="415">
          <cell r="B415">
            <v>4751</v>
          </cell>
          <cell r="C415" t="str">
            <v>CAFE' DEL PARCO S. N.C.</v>
          </cell>
          <cell r="D415" t="str">
            <v>02280160033 02280160033</v>
          </cell>
          <cell r="E415" t="str">
            <v>CORSO MAMELI</v>
          </cell>
          <cell r="F415">
            <v>28900</v>
          </cell>
          <cell r="G415" t="str">
            <v>VERBANIA</v>
          </cell>
          <cell r="H415" t="str">
            <v>VB</v>
          </cell>
          <cell r="I415" t="str">
            <v>ITALIA</v>
          </cell>
          <cell r="J415" t="str">
            <v>388-8050258</v>
          </cell>
        </row>
        <row r="416">
          <cell r="B416">
            <v>6662</v>
          </cell>
          <cell r="C416" t="str">
            <v>CA-FE DI  GRAZIA BELLUOMO</v>
          </cell>
          <cell r="D416" t="str">
            <v>02722070188 BLLGZS58L42E716D</v>
          </cell>
          <cell r="E416" t="str">
            <v>VIA CORSO NOVARA, 7</v>
          </cell>
          <cell r="F416">
            <v>27029</v>
          </cell>
          <cell r="G416" t="str">
            <v>VIGEVANO</v>
          </cell>
          <cell r="H416" t="str">
            <v>PV</v>
          </cell>
          <cell r="I416" t="str">
            <v>ITALIA</v>
          </cell>
          <cell r="J416" t="str">
            <v>347-77703482</v>
          </cell>
        </row>
        <row r="417">
          <cell r="B417">
            <v>6803</v>
          </cell>
          <cell r="C417" t="str">
            <v>CAFE' ET CHOCOLAT  DI DANIELE  EMANUELA</v>
          </cell>
          <cell r="D417" t="str">
            <v>11171300012 DNLMNL68L49C627 Z</v>
          </cell>
          <cell r="E417" t="str">
            <v>VIA MARCONI, 1</v>
          </cell>
          <cell r="F417">
            <v>10023</v>
          </cell>
          <cell r="G417" t="str">
            <v>CHIERI</v>
          </cell>
          <cell r="H417" t="str">
            <v>TO</v>
          </cell>
          <cell r="I417" t="str">
            <v>ITALIA</v>
          </cell>
          <cell r="J417" t="str">
            <v xml:space="preserve">011/9477678 </v>
          </cell>
        </row>
        <row r="418">
          <cell r="B418">
            <v>7991</v>
          </cell>
          <cell r="C418" t="str">
            <v>CAFFE' &amp; FANTASIA DI GASPARI ARIANNA</v>
          </cell>
          <cell r="E418" t="str">
            <v>VIA LIBERTA', 17</v>
          </cell>
          <cell r="F418">
            <v>21017</v>
          </cell>
          <cell r="G418" t="str">
            <v>SAMARATE</v>
          </cell>
          <cell r="H418" t="str">
            <v>VA</v>
          </cell>
          <cell r="I418" t="str">
            <v>ITALIA</v>
          </cell>
          <cell r="J418" t="str">
            <v>349-0740538</v>
          </cell>
        </row>
        <row r="419">
          <cell r="B419">
            <v>6876</v>
          </cell>
          <cell r="C419" t="str">
            <v>CAFFE' &amp; PUSA-CAFE' DI TROVO' DUILIO</v>
          </cell>
          <cell r="D419" t="str">
            <v>12156460011 TRVDLU56P16L219 O</v>
          </cell>
          <cell r="E419" t="str">
            <v>VIA MONGINEVRO, 13</v>
          </cell>
          <cell r="F419">
            <v>10023</v>
          </cell>
          <cell r="G419" t="str">
            <v>CHIERI</v>
          </cell>
          <cell r="H419" t="str">
            <v>TO</v>
          </cell>
          <cell r="I419" t="str">
            <v>ITALIA</v>
          </cell>
          <cell r="J419" t="str">
            <v>347-2698738</v>
          </cell>
        </row>
        <row r="420">
          <cell r="B420">
            <v>3941</v>
          </cell>
          <cell r="C420" t="str">
            <v>CAFFE' 2000 S.R.L.</v>
          </cell>
          <cell r="D420" t="str">
            <v>04928581000 04928581000</v>
          </cell>
          <cell r="E420" t="str">
            <v>VIA JAIME PINTOR, 9</v>
          </cell>
          <cell r="F420">
            <v>137</v>
          </cell>
          <cell r="G420" t="str">
            <v>ROMA</v>
          </cell>
          <cell r="H420" t="str">
            <v>RM</v>
          </cell>
          <cell r="I420" t="str">
            <v>ITALIA</v>
          </cell>
          <cell r="J420" t="str">
            <v xml:space="preserve">06-87235021 </v>
          </cell>
        </row>
        <row r="421">
          <cell r="B421">
            <v>6830</v>
          </cell>
          <cell r="C421" t="str">
            <v>CAFFE' 24 DI  MASSIMO  PROFESSIONE</v>
          </cell>
          <cell r="D421" t="str">
            <v>11983970010</v>
          </cell>
          <cell r="E421" t="str">
            <v>C.SO TARANTO, 161</v>
          </cell>
          <cell r="F421">
            <v>10154</v>
          </cell>
          <cell r="G421" t="str">
            <v>TORINO</v>
          </cell>
          <cell r="H421" t="str">
            <v>TO</v>
          </cell>
          <cell r="I421" t="str">
            <v>ITALIA</v>
          </cell>
          <cell r="J421" t="str">
            <v>338-3501111</v>
          </cell>
        </row>
        <row r="422">
          <cell r="B422">
            <v>4782</v>
          </cell>
          <cell r="C422" t="str">
            <v>CAFFE' BONELLI DI  BONELLI STEFANO</v>
          </cell>
          <cell r="D422" t="str">
            <v>11475590011 BNLSFN79H01L219M</v>
          </cell>
          <cell r="E422" t="str">
            <v>VIALE DEI CADUTI, 6</v>
          </cell>
          <cell r="F422">
            <v>10090</v>
          </cell>
          <cell r="G422" t="str">
            <v>SAN GIUSTO  CANAVESE</v>
          </cell>
          <cell r="H422" t="str">
            <v>TO</v>
          </cell>
          <cell r="I422" t="str">
            <v>ITALIA</v>
          </cell>
          <cell r="J422" t="str">
            <v>333-4254726</v>
          </cell>
        </row>
        <row r="423">
          <cell r="B423">
            <v>4989</v>
          </cell>
          <cell r="C423" t="str">
            <v>CAFFE' CAP S.R. L.</v>
          </cell>
          <cell r="D423" t="str">
            <v>09633360962 09633360962</v>
          </cell>
          <cell r="E423" t="str">
            <v>VIA R. SERRA, 2</v>
          </cell>
          <cell r="F423">
            <v>20017</v>
          </cell>
          <cell r="G423" t="str">
            <v>RHO</v>
          </cell>
          <cell r="H423" t="str">
            <v>MI</v>
          </cell>
          <cell r="I423" t="str">
            <v>ITALIA</v>
          </cell>
          <cell r="J423" t="str">
            <v>0331-779893</v>
          </cell>
        </row>
        <row r="424">
          <cell r="B424">
            <v>7957</v>
          </cell>
          <cell r="C424" t="str">
            <v>CAFFE' CAPS STORE CDC S.R.L.</v>
          </cell>
          <cell r="E424" t="str">
            <v>PIAZZA CAVOUR,22</v>
          </cell>
          <cell r="F424">
            <v>23037</v>
          </cell>
          <cell r="G424" t="str">
            <v>TIRANO</v>
          </cell>
          <cell r="H424" t="str">
            <v>SO</v>
          </cell>
          <cell r="I424" t="str">
            <v>ITALIA</v>
          </cell>
          <cell r="J424" t="str">
            <v>342-702063</v>
          </cell>
        </row>
        <row r="425">
          <cell r="B425">
            <v>6563</v>
          </cell>
          <cell r="C425" t="str">
            <v>CAFFE' CAUSARANO S.N.C.</v>
          </cell>
          <cell r="D425" t="str">
            <v>08293220961 08293220961</v>
          </cell>
          <cell r="E425" t="str">
            <v>CORSO GARIBALDI, 199</v>
          </cell>
          <cell r="F425">
            <v>20025</v>
          </cell>
          <cell r="G425" t="str">
            <v>LEGNANO</v>
          </cell>
          <cell r="H425" t="str">
            <v>MI</v>
          </cell>
          <cell r="I425" t="str">
            <v>ITALIA</v>
          </cell>
          <cell r="J425" t="str">
            <v xml:space="preserve">0331-1962275 </v>
          </cell>
        </row>
        <row r="426">
          <cell r="B426">
            <v>1287</v>
          </cell>
          <cell r="C426" t="str">
            <v>CAFFE' COMERO S.R.L.</v>
          </cell>
          <cell r="E426" t="str">
            <v>VIA NOVARA ,341</v>
          </cell>
          <cell r="F426">
            <v>28078</v>
          </cell>
          <cell r="G426" t="str">
            <v>ROMAGNANO SESIA</v>
          </cell>
          <cell r="H426" t="str">
            <v>NO</v>
          </cell>
          <cell r="I426" t="str">
            <v>ITALIA</v>
          </cell>
          <cell r="J426" t="str">
            <v>0163-833624</v>
          </cell>
        </row>
        <row r="427">
          <cell r="B427">
            <v>6690</v>
          </cell>
          <cell r="C427" t="str">
            <v>CAFFE' DANDY DI  VALENTINA GIULINI</v>
          </cell>
          <cell r="D427" t="str">
            <v>10348670968 GLNVNT91A43F205 H</v>
          </cell>
          <cell r="E427" t="str">
            <v>VIA CASCINA BIANCA, 20</v>
          </cell>
          <cell r="F427">
            <v>20142</v>
          </cell>
          <cell r="G427" t="str">
            <v>MILANO</v>
          </cell>
          <cell r="H427" t="str">
            <v>MI</v>
          </cell>
          <cell r="I427" t="str">
            <v>ITALIA</v>
          </cell>
          <cell r="J427" t="str">
            <v>333-9046893</v>
          </cell>
        </row>
        <row r="428">
          <cell r="B428">
            <v>4872</v>
          </cell>
          <cell r="C428" t="str">
            <v>CAFFE' DEL LAGO DI  PALMIGIANO DAVIDE</v>
          </cell>
          <cell r="D428" t="str">
            <v>02483790032 PLMDVD72D25L746 G</v>
          </cell>
          <cell r="E428" t="str">
            <v>VIA PER ARMENO, 45/A</v>
          </cell>
          <cell r="F428">
            <v>28887</v>
          </cell>
          <cell r="G428" t="str">
            <v>OMEGNA</v>
          </cell>
          <cell r="H428" t="str">
            <v>VB</v>
          </cell>
          <cell r="I428" t="str">
            <v>ITALIA</v>
          </cell>
        </row>
        <row r="429">
          <cell r="B429">
            <v>4269</v>
          </cell>
          <cell r="C429" t="str">
            <v>CAFFE' D'ITALIA S.A.</v>
          </cell>
          <cell r="D429" t="str">
            <v>438.391.461</v>
          </cell>
          <cell r="E429" t="str">
            <v>VIA DELLE SCUOLE, 2</v>
          </cell>
          <cell r="F429">
            <v>6917</v>
          </cell>
          <cell r="G429" t="str">
            <v>BARBENGO -  SVIZZERA -</v>
          </cell>
          <cell r="I429" t="str">
            <v>SVIZZERA</v>
          </cell>
          <cell r="J429" t="str">
            <v xml:space="preserve">0041-796287201 </v>
          </cell>
        </row>
        <row r="430">
          <cell r="B430">
            <v>6160</v>
          </cell>
          <cell r="C430" t="str">
            <v>CAFFE' DOC DI  IRYNA MUSHCHUK</v>
          </cell>
          <cell r="D430" t="str">
            <v>01387350083 MSHRYN76T60Z139 S</v>
          </cell>
          <cell r="E430" t="str">
            <v>VIA DELLA BEA, 11/9</v>
          </cell>
          <cell r="F430">
            <v>18010</v>
          </cell>
          <cell r="G430" t="str">
            <v>DIANO MARINA</v>
          </cell>
          <cell r="H430" t="str">
            <v>IM</v>
          </cell>
          <cell r="I430" t="str">
            <v>ITALIA</v>
          </cell>
          <cell r="J430" t="str">
            <v>392-8609153</v>
          </cell>
        </row>
        <row r="431">
          <cell r="B431">
            <v>4381</v>
          </cell>
          <cell r="C431" t="str">
            <v>CAFFE' DOC DI  MORASSI  ALESSANDRO S.A.S.</v>
          </cell>
          <cell r="D431" t="str">
            <v>01581610084 01581610084</v>
          </cell>
          <cell r="E431" t="str">
            <v>VIA PALESTRO, 1</v>
          </cell>
          <cell r="F431">
            <v>18100</v>
          </cell>
          <cell r="G431" t="str">
            <v>IMPERIA</v>
          </cell>
          <cell r="H431" t="str">
            <v>IM</v>
          </cell>
          <cell r="I431" t="str">
            <v>ITALIA</v>
          </cell>
          <cell r="J431" t="str">
            <v>348-2215424</v>
          </cell>
        </row>
        <row r="432">
          <cell r="B432">
            <v>1701</v>
          </cell>
          <cell r="C432" t="str">
            <v>CAFFE' EURO S.R.L.</v>
          </cell>
          <cell r="D432" t="str">
            <v>03111190967 03111190967</v>
          </cell>
          <cell r="E432" t="str">
            <v>VIA MANZONI, 9</v>
          </cell>
          <cell r="F432">
            <v>20822</v>
          </cell>
          <cell r="G432" t="str">
            <v>SEVESO</v>
          </cell>
          <cell r="H432" t="str">
            <v>MB</v>
          </cell>
          <cell r="I432" t="str">
            <v>ITALIA</v>
          </cell>
        </row>
        <row r="433">
          <cell r="B433">
            <v>5885</v>
          </cell>
          <cell r="C433" t="str">
            <v>CAFFE' FANTINO DI  FANTINO PAOLO &amp; C. S.A.S</v>
          </cell>
          <cell r="D433" t="str">
            <v>02293600041 02293600041</v>
          </cell>
          <cell r="E433" t="str">
            <v>VIA DEGLI ARTIGIANI, 16</v>
          </cell>
          <cell r="F433">
            <v>12016</v>
          </cell>
          <cell r="G433" t="str">
            <v>LOC.  COLOMBERO-  PEVERAGNO</v>
          </cell>
          <cell r="H433" t="str">
            <v>CN</v>
          </cell>
          <cell r="I433" t="str">
            <v>ITALIA</v>
          </cell>
          <cell r="J433" t="str">
            <v>0171-384816</v>
          </cell>
        </row>
        <row r="434">
          <cell r="B434">
            <v>4119</v>
          </cell>
          <cell r="C434" t="str">
            <v>CAFFE' FERRARI DI  FERRARI GIOVANNI</v>
          </cell>
          <cell r="D434" t="str">
            <v>01550960080 FRRGNN55S20E290 Z</v>
          </cell>
          <cell r="E434" t="str">
            <v>VIA VECCHIA PIEMONTE,  104</v>
          </cell>
          <cell r="F434">
            <v>18100</v>
          </cell>
          <cell r="G434" t="str">
            <v>IMPERIA</v>
          </cell>
          <cell r="H434" t="str">
            <v>IM</v>
          </cell>
          <cell r="I434" t="str">
            <v>ITALIA</v>
          </cell>
          <cell r="J434" t="str">
            <v xml:space="preserve">393-3295922 </v>
          </cell>
        </row>
        <row r="435">
          <cell r="B435">
            <v>6433</v>
          </cell>
          <cell r="C435" t="str">
            <v>CAFFE' GHIGO S.R.L.</v>
          </cell>
          <cell r="D435" t="str">
            <v>00285530044 00285530044</v>
          </cell>
          <cell r="E435" t="str">
            <v>VIA DON ORIONE, 136</v>
          </cell>
          <cell r="F435">
            <v>12042</v>
          </cell>
          <cell r="G435" t="str">
            <v>BRA</v>
          </cell>
          <cell r="H435" t="str">
            <v>TO</v>
          </cell>
          <cell r="I435" t="str">
            <v>ITALIA</v>
          </cell>
          <cell r="J435" t="str">
            <v>0172-457371</v>
          </cell>
        </row>
        <row r="436">
          <cell r="B436">
            <v>5195</v>
          </cell>
          <cell r="C436" t="str">
            <v>CAFFE' IL CHICCO S. A.S.</v>
          </cell>
          <cell r="D436" t="str">
            <v>01224060085 01224060085</v>
          </cell>
          <cell r="E436" t="str">
            <v>VIA PASSAGGIA, 26 BIS</v>
          </cell>
          <cell r="F436">
            <v>18013</v>
          </cell>
          <cell r="G436" t="str">
            <v>DIANO  CASTELLO</v>
          </cell>
          <cell r="H436" t="str">
            <v>IM</v>
          </cell>
          <cell r="I436" t="str">
            <v>ITALIA</v>
          </cell>
          <cell r="J436" t="str">
            <v xml:space="preserve">0183-497131 </v>
          </cell>
        </row>
        <row r="437">
          <cell r="B437">
            <v>6832</v>
          </cell>
          <cell r="C437" t="str">
            <v>CAFFE' IN CIALDE  DI TORALBO ROSA  CHIARA</v>
          </cell>
          <cell r="D437" t="str">
            <v>09491530961 TRLRCH86C53G273 B</v>
          </cell>
          <cell r="E437" t="str">
            <v>VIA MAMBRETTI ANTONIO, 5</v>
          </cell>
          <cell r="F437">
            <v>20157</v>
          </cell>
          <cell r="G437" t="str">
            <v>MILANO</v>
          </cell>
          <cell r="H437" t="str">
            <v>MI</v>
          </cell>
          <cell r="I437" t="str">
            <v>ITALIA</v>
          </cell>
          <cell r="J437" t="str">
            <v xml:space="preserve">02-35984160 </v>
          </cell>
        </row>
        <row r="438">
          <cell r="B438">
            <v>9763</v>
          </cell>
          <cell r="C438" t="str">
            <v>CAFFE' IN CIALDE DI SIMONE BATTAGLIA</v>
          </cell>
          <cell r="E438" t="str">
            <v>VIA FILIPPO PALIZZI, 108</v>
          </cell>
          <cell r="F438">
            <v>20157</v>
          </cell>
          <cell r="G438" t="str">
            <v>MILANO</v>
          </cell>
          <cell r="H438" t="str">
            <v>MI</v>
          </cell>
          <cell r="I438" t="str">
            <v>ITALIA</v>
          </cell>
          <cell r="J438" t="str">
            <v>338-5860921</v>
          </cell>
        </row>
        <row r="439">
          <cell r="B439">
            <v>2864</v>
          </cell>
          <cell r="C439" t="str">
            <v>CAFFE' LINEA  CASA DI  TAMBURELLO  GIOVANNI</v>
          </cell>
          <cell r="D439" t="str">
            <v>02676440130 TMBGNN71E12B081 E</v>
          </cell>
          <cell r="E439" t="str">
            <v>VIALE  RIMEMBRANZE, 6</v>
          </cell>
          <cell r="F439">
            <v>23890</v>
          </cell>
          <cell r="G439" t="str">
            <v>BARZAGO</v>
          </cell>
          <cell r="H439" t="str">
            <v>LC</v>
          </cell>
          <cell r="I439" t="str">
            <v>ITALIA</v>
          </cell>
          <cell r="J439" t="str">
            <v>348-7101404</v>
          </cell>
        </row>
        <row r="440">
          <cell r="B440">
            <v>5565</v>
          </cell>
          <cell r="C440" t="str">
            <v>CAFFE' LUCAS DI  CREPALDI LUCA</v>
          </cell>
          <cell r="D440" t="str">
            <v>02127770028 CRPLCU71P29L219 N</v>
          </cell>
          <cell r="E440" t="str">
            <v>VIA TORINO, 46</v>
          </cell>
          <cell r="F440">
            <v>13040</v>
          </cell>
          <cell r="G440" t="str">
            <v>BORGO D'ALE</v>
          </cell>
          <cell r="H440" t="str">
            <v>VC</v>
          </cell>
          <cell r="I440" t="str">
            <v>ITALIA</v>
          </cell>
          <cell r="J440" t="str">
            <v>349-7414726</v>
          </cell>
        </row>
        <row r="441">
          <cell r="B441">
            <v>7151</v>
          </cell>
          <cell r="C441" t="str">
            <v>CAFFE' MANILA DI  MAURIZIO  TAGLIENTE</v>
          </cell>
          <cell r="D441" t="str">
            <v>12324330013 TGLMRZ69R29L219 G</v>
          </cell>
          <cell r="E441" t="str">
            <v>VIA GIULIA DI BAROLO,  7/A</v>
          </cell>
          <cell r="F441">
            <v>10124</v>
          </cell>
          <cell r="G441" t="str">
            <v>TORINO</v>
          </cell>
          <cell r="H441" t="str">
            <v>TO</v>
          </cell>
          <cell r="I441" t="str">
            <v>ITALIA</v>
          </cell>
          <cell r="J441" t="str">
            <v>329-1779682</v>
          </cell>
        </row>
        <row r="442">
          <cell r="B442">
            <v>7220</v>
          </cell>
          <cell r="C442" t="str">
            <v>CAFFE' MARCONI C&amp;C S.N.C.</v>
          </cell>
          <cell r="D442" t="str">
            <v>02458940901</v>
          </cell>
          <cell r="E442" t="str">
            <v>VIA MARCONI, 20</v>
          </cell>
          <cell r="F442">
            <v>7044</v>
          </cell>
          <cell r="G442" t="str">
            <v>ITTIRI</v>
          </cell>
          <cell r="H442" t="str">
            <v>SS</v>
          </cell>
          <cell r="I442" t="str">
            <v>ITALIA</v>
          </cell>
          <cell r="J442" t="str">
            <v>349-0529774</v>
          </cell>
        </row>
        <row r="443">
          <cell r="B443">
            <v>6932</v>
          </cell>
          <cell r="C443" t="str">
            <v>CAFFE' MARICIKA  DI BLAJA MARIA</v>
          </cell>
          <cell r="D443" t="str">
            <v>03664090127 BLJMRA72P52Z140K</v>
          </cell>
          <cell r="E443" t="str">
            <v>VIA RAIMONDI, 34</v>
          </cell>
          <cell r="F443">
            <v>21055</v>
          </cell>
          <cell r="G443" t="str">
            <v>GORLA MINORE</v>
          </cell>
          <cell r="H443" t="str">
            <v>VA</v>
          </cell>
          <cell r="I443" t="str">
            <v>ITALIA</v>
          </cell>
          <cell r="J443" t="str">
            <v>351-9438768</v>
          </cell>
        </row>
        <row r="444">
          <cell r="B444">
            <v>1509</v>
          </cell>
          <cell r="C444" t="str">
            <v>CAFFE' MATIK DI  MORONI LORENZO</v>
          </cell>
          <cell r="D444" t="str">
            <v>12987100158 MRNLNZ74D24H264 V</v>
          </cell>
          <cell r="E444" t="str">
            <v>VIALE LEGNANO, 35</v>
          </cell>
          <cell r="F444">
            <v>20015</v>
          </cell>
          <cell r="G444" t="str">
            <v>PARABIAGO</v>
          </cell>
          <cell r="H444" t="str">
            <v>MI</v>
          </cell>
          <cell r="I444" t="str">
            <v>ITALIA</v>
          </cell>
          <cell r="J444" t="str">
            <v>0331-553310</v>
          </cell>
        </row>
        <row r="445">
          <cell r="B445">
            <v>6426</v>
          </cell>
          <cell r="C445" t="str">
            <v>CAFFE OFFICE DI G.  TAMBURELLO</v>
          </cell>
          <cell r="D445" t="str">
            <v>02676440130 TMBGNN71E12B081 E</v>
          </cell>
          <cell r="E445" t="str">
            <v>VIA MADONNA DEL  POZZO, 4</v>
          </cell>
          <cell r="F445">
            <v>22039</v>
          </cell>
          <cell r="G445" t="str">
            <v>VALBRONA</v>
          </cell>
          <cell r="H445" t="str">
            <v>CO</v>
          </cell>
          <cell r="I445" t="str">
            <v>ITALIA</v>
          </cell>
          <cell r="J445" t="str">
            <v>348-7101404</v>
          </cell>
        </row>
        <row r="446">
          <cell r="B446">
            <v>6696</v>
          </cell>
          <cell r="C446" t="str">
            <v>CAFFE OK DI  GIACALONE  VERONICA</v>
          </cell>
          <cell r="D446" t="str">
            <v>10100110963 GCLVNC97B52I690 F</v>
          </cell>
          <cell r="E446" t="str">
            <v>VIA SAN CARLO, 13</v>
          </cell>
          <cell r="F446">
            <v>20851</v>
          </cell>
          <cell r="G446" t="str">
            <v>LISSONE</v>
          </cell>
          <cell r="H446" t="str">
            <v>MB</v>
          </cell>
          <cell r="I446" t="str">
            <v>ITALIA</v>
          </cell>
          <cell r="J446" t="str">
            <v>347-5087782</v>
          </cell>
        </row>
        <row r="447">
          <cell r="B447">
            <v>2828</v>
          </cell>
          <cell r="C447" t="str">
            <v>CAFFE' OTTOLINA S. P.A.</v>
          </cell>
          <cell r="D447" t="str">
            <v>00709150155 00709150155</v>
          </cell>
          <cell r="E447" t="str">
            <v>VIA DECEMVIRI, 20/24</v>
          </cell>
          <cell r="F447">
            <v>20137</v>
          </cell>
          <cell r="G447" t="str">
            <v>MILANO</v>
          </cell>
          <cell r="H447" t="str">
            <v>MI</v>
          </cell>
          <cell r="I447" t="str">
            <v>ITALIA</v>
          </cell>
          <cell r="J447" t="str">
            <v xml:space="preserve">02-730032 </v>
          </cell>
        </row>
        <row r="448">
          <cell r="B448">
            <v>9194</v>
          </cell>
          <cell r="C448" t="str">
            <v xml:space="preserve">CAFFE' PER TUTTI DI GAROFALO GIUSEPPE </v>
          </cell>
          <cell r="E448" t="str">
            <v>VIA DANTE ALIGHIERI, 21/D</v>
          </cell>
          <cell r="F448">
            <v>20097</v>
          </cell>
          <cell r="G448" t="str">
            <v>SAN DONATO MILANESE</v>
          </cell>
          <cell r="H448" t="str">
            <v>MI</v>
          </cell>
          <cell r="I448" t="str">
            <v>ITALIA</v>
          </cell>
          <cell r="J448" t="str">
            <v>351-5992797</v>
          </cell>
        </row>
        <row r="449">
          <cell r="B449">
            <v>3235</v>
          </cell>
          <cell r="C449" t="str">
            <v>CAFFE' PIU' S.R. L.</v>
          </cell>
          <cell r="D449" t="str">
            <v>03020100362 03020100362</v>
          </cell>
          <cell r="E449" t="str">
            <v>VIA CASTELLOTTI, 38/42</v>
          </cell>
          <cell r="F449">
            <v>41053</v>
          </cell>
          <cell r="G449" t="str">
            <v>MARANELLO</v>
          </cell>
          <cell r="H449" t="str">
            <v>MO</v>
          </cell>
          <cell r="I449" t="str">
            <v>ITALIA</v>
          </cell>
          <cell r="J449" t="str">
            <v>0536-401304</v>
          </cell>
        </row>
        <row r="450">
          <cell r="B450">
            <v>6651</v>
          </cell>
          <cell r="C450" t="str">
            <v>CAFFE' POINT DI  SAPORITI DANIELE</v>
          </cell>
          <cell r="D450" t="str">
            <v>03263040986 SPRDNL77R12B157 A</v>
          </cell>
          <cell r="E450" t="str">
            <v>VIA OPADRE MARCOLINI,  8</v>
          </cell>
          <cell r="F450">
            <v>25030</v>
          </cell>
          <cell r="G450" t="str">
            <v>RONCADELLE</v>
          </cell>
          <cell r="H450" t="str">
            <v>BS</v>
          </cell>
          <cell r="I450" t="str">
            <v>ITALIA</v>
          </cell>
          <cell r="J450" t="str">
            <v>030-346095</v>
          </cell>
        </row>
        <row r="451">
          <cell r="B451">
            <v>2388</v>
          </cell>
          <cell r="C451" t="str">
            <v>CAFFE' PORT MOKA  S.R.L.</v>
          </cell>
          <cell r="D451" t="str">
            <v>01491190185 01491190185</v>
          </cell>
          <cell r="E451" t="str">
            <v>CORSO NOVARA, 211/A</v>
          </cell>
          <cell r="F451">
            <v>27029</v>
          </cell>
          <cell r="G451" t="str">
            <v>VIGEVANO</v>
          </cell>
          <cell r="H451" t="str">
            <v>PV</v>
          </cell>
          <cell r="I451" t="str">
            <v>ITALIA</v>
          </cell>
          <cell r="J451" t="str">
            <v>0381-327128</v>
          </cell>
        </row>
        <row r="452">
          <cell r="B452">
            <v>4626</v>
          </cell>
          <cell r="C452" t="str">
            <v>CAFFE' SALVADOR S. A.S. DI FICO  FRANCESCO &amp; C.</v>
          </cell>
          <cell r="D452" t="str">
            <v>10572010014</v>
          </cell>
          <cell r="E452" t="str">
            <v>VIA PRIVATA CHIUSA, 12</v>
          </cell>
          <cell r="F452">
            <v>10024</v>
          </cell>
          <cell r="G452" t="str">
            <v>MONCALIERI</v>
          </cell>
          <cell r="H452" t="str">
            <v>TO</v>
          </cell>
          <cell r="I452" t="str">
            <v>ITALIA</v>
          </cell>
          <cell r="J452" t="str">
            <v>340-2346169</v>
          </cell>
        </row>
        <row r="453">
          <cell r="B453">
            <v>4090</v>
          </cell>
          <cell r="C453" t="str">
            <v>CAFFE' SCORPIONE  DI CAPPELLI EMILIO  &amp; C. S.N.C.</v>
          </cell>
          <cell r="D453" t="str">
            <v>10235450011 CPPMLE88D04E379 V</v>
          </cell>
          <cell r="E453" t="str">
            <v>VIA BOLLENGO, 13</v>
          </cell>
          <cell r="F453">
            <v>10010</v>
          </cell>
          <cell r="G453" t="str">
            <v>PALAZZO  CANAVESE</v>
          </cell>
          <cell r="H453" t="str">
            <v>TO</v>
          </cell>
          <cell r="I453" t="str">
            <v>ITALIA</v>
          </cell>
          <cell r="J453" t="str">
            <v>348-5460158</v>
          </cell>
        </row>
        <row r="454">
          <cell r="B454">
            <v>6700</v>
          </cell>
          <cell r="C454" t="str">
            <v>CAFFE' SOSPESO DI  GIORGIO PACI</v>
          </cell>
          <cell r="D454" t="str">
            <v>02684910181 PCAGRG65S02F205 I</v>
          </cell>
          <cell r="E454" t="str">
            <v>VIALE E.BEZZI, 77</v>
          </cell>
          <cell r="F454">
            <v>20146</v>
          </cell>
          <cell r="G454" t="str">
            <v>MILANO</v>
          </cell>
          <cell r="H454" t="str">
            <v>MI</v>
          </cell>
          <cell r="I454" t="str">
            <v>ITALIA</v>
          </cell>
          <cell r="J454" t="str">
            <v>02-43986665</v>
          </cell>
        </row>
        <row r="455">
          <cell r="B455">
            <v>1694</v>
          </cell>
          <cell r="C455" t="str">
            <v>CAFFE' TIGULLIO DI  SANGUINETI MARCO</v>
          </cell>
          <cell r="D455" t="str">
            <v>01117230993 SNGMRC70D05C62 1O</v>
          </cell>
          <cell r="E455" t="str">
            <v>TRAVERSA VIA SAN RUFINO, 15/17</v>
          </cell>
          <cell r="F455">
            <v>16043</v>
          </cell>
          <cell r="G455" t="str">
            <v>CHIAVARI</v>
          </cell>
          <cell r="H455" t="str">
            <v>GE</v>
          </cell>
          <cell r="I455" t="str">
            <v>ITALIA</v>
          </cell>
          <cell r="J455" t="str">
            <v>366-3150602</v>
          </cell>
        </row>
        <row r="456">
          <cell r="B456">
            <v>2933</v>
          </cell>
          <cell r="C456" t="str">
            <v>CAFFE' TIME S.A. S. DI EVANGELISTI  R. &amp; C.</v>
          </cell>
          <cell r="D456" t="str">
            <v>02727030161 02727030161</v>
          </cell>
          <cell r="E456" t="str">
            <v>VIA F.D. GUERRAZZI, 4H</v>
          </cell>
          <cell r="F456">
            <v>24127</v>
          </cell>
          <cell r="G456" t="str">
            <v>BERGAMO</v>
          </cell>
          <cell r="H456" t="str">
            <v>BG</v>
          </cell>
          <cell r="I456" t="str">
            <v>ITALIA</v>
          </cell>
          <cell r="J456" t="str">
            <v>393-5749011</v>
          </cell>
        </row>
        <row r="457">
          <cell r="B457">
            <v>2819</v>
          </cell>
          <cell r="C457" t="str">
            <v>CAFFE' TIME S.N.C.</v>
          </cell>
          <cell r="D457" t="str">
            <v>01408390050 01408390050</v>
          </cell>
          <cell r="E457" t="str">
            <v>VIA SERRA, 9</v>
          </cell>
          <cell r="F457">
            <v>14014</v>
          </cell>
          <cell r="G457" t="str">
            <v>CAPRIGLIO</v>
          </cell>
          <cell r="H457" t="str">
            <v>AT</v>
          </cell>
          <cell r="I457" t="str">
            <v>ITALIA</v>
          </cell>
          <cell r="J457" t="str">
            <v>333-2099890</v>
          </cell>
        </row>
        <row r="458">
          <cell r="B458">
            <v>6371</v>
          </cell>
          <cell r="C458" t="str">
            <v>CAFFE' VALLE DI  VALLE GUIDO &amp; C. S. N.C.</v>
          </cell>
          <cell r="D458" t="str">
            <v>01063850059 01063850059</v>
          </cell>
          <cell r="E458" t="str">
            <v>FRAZ. LAVEZZOLE, 3/A</v>
          </cell>
          <cell r="F458">
            <v>14015</v>
          </cell>
          <cell r="G458" t="str">
            <v>SAN DAMIANO D' ASTI</v>
          </cell>
          <cell r="H458" t="str">
            <v>AT</v>
          </cell>
          <cell r="I458" t="str">
            <v>ITALIA</v>
          </cell>
          <cell r="J458" t="str">
            <v xml:space="preserve">0141-982797 </v>
          </cell>
        </row>
        <row r="459">
          <cell r="B459">
            <v>4291</v>
          </cell>
          <cell r="C459" t="str">
            <v>CAFFE' VALMOKA DI  LUCIO MAGLIONE</v>
          </cell>
          <cell r="D459" t="str">
            <v>05036920659 MGLLCU68T13H703 K</v>
          </cell>
          <cell r="E459" t="str">
            <v>VIA MAZZIOTTO, 3</v>
          </cell>
          <cell r="F459">
            <v>84033</v>
          </cell>
          <cell r="G459" t="str">
            <v>MONTESANO  SULLA  MARCELLANA</v>
          </cell>
          <cell r="H459" t="str">
            <v>SA</v>
          </cell>
          <cell r="I459" t="str">
            <v>ITALIA</v>
          </cell>
          <cell r="J459" t="str">
            <v>333-4007359</v>
          </cell>
        </row>
        <row r="460">
          <cell r="B460">
            <v>8770</v>
          </cell>
          <cell r="C460" t="str">
            <v>CAFFE' VENDING SAGL DISTRIBUTORI AUTOMATICI</v>
          </cell>
          <cell r="E460" t="str">
            <v>VIA CAMPAGNADORNA, 28B</v>
          </cell>
          <cell r="F460"/>
          <cell r="G460" t="str">
            <v>GENESTRERIO</v>
          </cell>
          <cell r="H460" t="str">
            <v>AG</v>
          </cell>
          <cell r="I460" t="str">
            <v>SVIZZERA</v>
          </cell>
          <cell r="J460" t="str">
            <v>0041-0768349474</v>
          </cell>
        </row>
        <row r="461">
          <cell r="B461">
            <v>4856</v>
          </cell>
          <cell r="C461" t="str">
            <v>CAFFE' VERARTE S.R. L.</v>
          </cell>
          <cell r="D461" t="str">
            <v>11118720017 11118720017</v>
          </cell>
          <cell r="E461" t="str">
            <v>VIA BOTTEGHE, 16</v>
          </cell>
          <cell r="F461">
            <v>10060</v>
          </cell>
          <cell r="G461" t="str">
            <v>TORINO</v>
          </cell>
          <cell r="H461" t="str">
            <v>TO</v>
          </cell>
          <cell r="I461" t="str">
            <v>ITALIA</v>
          </cell>
          <cell r="J461" t="str">
            <v>333-6695553</v>
          </cell>
        </row>
        <row r="462">
          <cell r="B462">
            <v>4910</v>
          </cell>
          <cell r="C462" t="str">
            <v>CAFFE' ZAMBELLI S. R.L.</v>
          </cell>
          <cell r="D462" t="str">
            <v>03532480120 03532480120</v>
          </cell>
          <cell r="E462" t="str">
            <v>VIA MAGATTI, 2</v>
          </cell>
          <cell r="F462">
            <v>21100</v>
          </cell>
          <cell r="G462" t="str">
            <v>VARESE</v>
          </cell>
          <cell r="H462" t="str">
            <v>VA</v>
          </cell>
          <cell r="I462" t="str">
            <v>ITALIA</v>
          </cell>
          <cell r="J462" t="str">
            <v>0332-282338</v>
          </cell>
        </row>
        <row r="463">
          <cell r="B463">
            <v>7402</v>
          </cell>
          <cell r="C463" t="str">
            <v>CAFFE'... E NON  SOLO DI RONCHI  CAMILLA DOMENICA</v>
          </cell>
          <cell r="D463" t="str">
            <v>03798180125 RNCCLL82L42G062 R</v>
          </cell>
          <cell r="E463" t="str">
            <v>VIA VERDI, 16</v>
          </cell>
          <cell r="F463">
            <v>21050</v>
          </cell>
          <cell r="G463" t="str">
            <v>GORLA  MAGGIORE</v>
          </cell>
          <cell r="H463" t="str">
            <v>VA</v>
          </cell>
          <cell r="I463" t="str">
            <v>ITALIA</v>
          </cell>
          <cell r="J463" t="str">
            <v>346-0449936</v>
          </cell>
        </row>
        <row r="464">
          <cell r="B464">
            <v>889</v>
          </cell>
          <cell r="C464" t="str">
            <v>CAFFEA S.N.C. DI  RONCORONI &amp; C</v>
          </cell>
          <cell r="D464" t="str">
            <v>01608160139 01608160139</v>
          </cell>
          <cell r="E464" t="str">
            <v>VIA CLERICI, 5</v>
          </cell>
          <cell r="F464">
            <v>22071</v>
          </cell>
          <cell r="G464" t="str">
            <v>CADORAGO</v>
          </cell>
          <cell r="H464" t="str">
            <v>CO</v>
          </cell>
          <cell r="I464" t="str">
            <v>ITALIA</v>
          </cell>
          <cell r="J464" t="str">
            <v>031-451699</v>
          </cell>
        </row>
        <row r="465">
          <cell r="B465">
            <v>6666</v>
          </cell>
          <cell r="C465" t="str">
            <v>CAFFECERTOSA.IT  DI MAIMONE  SIMONE GIORGIO</v>
          </cell>
          <cell r="D465" t="str">
            <v>08783670964 MMNSNG76B08F205 D</v>
          </cell>
          <cell r="E465" t="str">
            <v>VIALE CERTOSA, 125</v>
          </cell>
          <cell r="F465">
            <v>20151</v>
          </cell>
          <cell r="G465" t="str">
            <v>V.LE CERTOSA MILANO</v>
          </cell>
          <cell r="H465" t="str">
            <v>MI</v>
          </cell>
          <cell r="I465" t="str">
            <v>ITALIA</v>
          </cell>
          <cell r="J465" t="str">
            <v xml:space="preserve">02-91535797 </v>
          </cell>
        </row>
        <row r="466">
          <cell r="B466">
            <v>6653</v>
          </cell>
          <cell r="C466" t="str">
            <v>CAFFEINA S.R.L.</v>
          </cell>
          <cell r="D466" t="str">
            <v>02554500021 02554500021</v>
          </cell>
          <cell r="E466" t="str">
            <v>VIA W. MANZONE, 213</v>
          </cell>
          <cell r="F466">
            <v>13100</v>
          </cell>
          <cell r="G466" t="str">
            <v>VERCELLI</v>
          </cell>
          <cell r="H466" t="str">
            <v>VC</v>
          </cell>
          <cell r="I466" t="str">
            <v>ITALIA</v>
          </cell>
          <cell r="J466" t="str">
            <v>345-4416138</v>
          </cell>
        </row>
        <row r="467">
          <cell r="B467">
            <v>4694</v>
          </cell>
          <cell r="C467" t="str">
            <v>CAFFEINA STORE DI  FERRERI ANTONELLA</v>
          </cell>
          <cell r="D467" t="str">
            <v>11322380012 FRRNNL73T46C665P</v>
          </cell>
          <cell r="E467" t="str">
            <v>C.SO GALILEO FERRARIS,  14 B</v>
          </cell>
          <cell r="F467">
            <v>10034</v>
          </cell>
          <cell r="G467" t="str">
            <v>CHIVASSO</v>
          </cell>
          <cell r="H467" t="str">
            <v>TO</v>
          </cell>
          <cell r="I467" t="str">
            <v>ITALIA</v>
          </cell>
        </row>
        <row r="468">
          <cell r="B468">
            <v>4573</v>
          </cell>
          <cell r="C468" t="str">
            <v>CAFFEINA STORE DI  LAMANNA TERESA</v>
          </cell>
          <cell r="D468" t="str">
            <v>11154680018 LMNTRS51L58C352 M</v>
          </cell>
          <cell r="E468" t="str">
            <v>VIA DELLA REPUBBLICA,  34</v>
          </cell>
          <cell r="F468">
            <v>10036</v>
          </cell>
          <cell r="G468" t="str">
            <v>SETTIMO  TORINESE</v>
          </cell>
          <cell r="H468" t="str">
            <v>TO</v>
          </cell>
          <cell r="I468" t="str">
            <v>ITALIA</v>
          </cell>
          <cell r="J468" t="str">
            <v>011-3745583</v>
          </cell>
        </row>
        <row r="469">
          <cell r="B469">
            <v>4974</v>
          </cell>
          <cell r="C469" t="str">
            <v>CAFFEINA STORE S. N.C.</v>
          </cell>
          <cell r="D469" t="str">
            <v>11607050017 11607050017</v>
          </cell>
          <cell r="E469" t="str">
            <v>VIA DELLA REPUBBLICA,  34</v>
          </cell>
          <cell r="F469">
            <v>10036</v>
          </cell>
          <cell r="G469" t="str">
            <v>SETTIMO  TORINESE</v>
          </cell>
          <cell r="H469" t="str">
            <v>TO</v>
          </cell>
          <cell r="I469" t="str">
            <v>ITALIA</v>
          </cell>
          <cell r="J469" t="str">
            <v>349-9590211</v>
          </cell>
        </row>
        <row r="470">
          <cell r="B470">
            <v>4640</v>
          </cell>
          <cell r="C470" t="str">
            <v>CAFFEMANIA DI  ROMANO ANDREA</v>
          </cell>
          <cell r="D470" t="str">
            <v>11214730019 RMNNDR75A03L219 P</v>
          </cell>
          <cell r="E470" t="str">
            <v>PIAZZA MASSAUA, 10</v>
          </cell>
          <cell r="F470">
            <v>10146</v>
          </cell>
          <cell r="G470" t="str">
            <v>TORINO</v>
          </cell>
          <cell r="H470" t="str">
            <v>TO</v>
          </cell>
          <cell r="I470" t="str">
            <v>ITALIA</v>
          </cell>
          <cell r="J470" t="str">
            <v>011-720229</v>
          </cell>
        </row>
        <row r="471">
          <cell r="B471">
            <v>5808</v>
          </cell>
          <cell r="C471" t="str">
            <v>CAFFEMANIA S.R.L.</v>
          </cell>
          <cell r="D471" t="str">
            <v>05699040019 05699040019</v>
          </cell>
          <cell r="E471" t="str">
            <v>VIA LEINI', 137</v>
          </cell>
          <cell r="F471">
            <v>10036</v>
          </cell>
          <cell r="G471" t="str">
            <v>SETTIMO  TORINESE</v>
          </cell>
          <cell r="H471" t="str">
            <v>TO</v>
          </cell>
          <cell r="I471" t="str">
            <v>ITALIA</v>
          </cell>
          <cell r="J471" t="str">
            <v>011- 8978224</v>
          </cell>
        </row>
        <row r="472">
          <cell r="B472">
            <v>4501</v>
          </cell>
          <cell r="C472" t="str">
            <v>CAFFEMATIC DI  CRENNA RICCARDO</v>
          </cell>
          <cell r="D472" t="str">
            <v>03380320121 CRNRCR72R02D869 G</v>
          </cell>
          <cell r="E472" t="str">
            <v>VIA GIORDANO BRUNO, 2</v>
          </cell>
          <cell r="F472">
            <v>21013</v>
          </cell>
          <cell r="G472" t="str">
            <v>GALLARATE</v>
          </cell>
          <cell r="H472" t="str">
            <v>VA</v>
          </cell>
          <cell r="I472" t="str">
            <v>ITALIA</v>
          </cell>
          <cell r="J472" t="str">
            <v>0331-1682269</v>
          </cell>
        </row>
        <row r="473">
          <cell r="B473">
            <v>6732</v>
          </cell>
          <cell r="C473" t="str">
            <v>CAFFEMATIC GROUP  S.R.L.S.</v>
          </cell>
          <cell r="D473" t="str">
            <v>03663540122 03663540122</v>
          </cell>
          <cell r="E473" t="str">
            <v>VIA A. ALEARDI, 1</v>
          </cell>
          <cell r="F473">
            <v>21013</v>
          </cell>
          <cell r="G473" t="str">
            <v>GALLARATE</v>
          </cell>
          <cell r="H473" t="str">
            <v>VA</v>
          </cell>
          <cell r="I473" t="str">
            <v>ITALIA</v>
          </cell>
          <cell r="J473" t="str">
            <v xml:space="preserve">0331-1682269 </v>
          </cell>
        </row>
        <row r="474">
          <cell r="B474">
            <v>3783</v>
          </cell>
          <cell r="C474" t="str">
            <v>CAFFEMATICA S. N.C. DI G. E S.  REZZONICO</v>
          </cell>
          <cell r="D474" t="str">
            <v>755405</v>
          </cell>
          <cell r="E474" t="str">
            <v>VIA LUVELINA, 14</v>
          </cell>
          <cell r="F474">
            <v>6943</v>
          </cell>
          <cell r="G474" t="str">
            <v>VEZIA -  SVIZZERA</v>
          </cell>
          <cell r="I474" t="str">
            <v>SVIZZERA</v>
          </cell>
          <cell r="J474" t="str">
            <v>0041-789077272</v>
          </cell>
        </row>
        <row r="475">
          <cell r="B475">
            <v>6836</v>
          </cell>
          <cell r="C475" t="str">
            <v>CAFFEMATICA SA</v>
          </cell>
          <cell r="D475" t="str">
            <v>169112744</v>
          </cell>
          <cell r="E475" t="str">
            <v>VIA LUVELINA, 14</v>
          </cell>
          <cell r="F475">
            <v>6943</v>
          </cell>
          <cell r="G475" t="str">
            <v>VEZIA</v>
          </cell>
          <cell r="I475" t="str">
            <v>SVIZZERA</v>
          </cell>
          <cell r="J475" t="str">
            <v>0041-789077272</v>
          </cell>
        </row>
        <row r="476">
          <cell r="B476">
            <v>4624</v>
          </cell>
          <cell r="C476" t="str">
            <v>CAFFEMATICO DI  CANITO FRANCESCO</v>
          </cell>
          <cell r="D476" t="str">
            <v>11232050010 DCNFNC77P14C722 P</v>
          </cell>
          <cell r="E476" t="str">
            <v>VIA LEINI, 1/A</v>
          </cell>
          <cell r="F476">
            <v>10077</v>
          </cell>
          <cell r="G476" t="str">
            <v>SAN MAURIZIO  CANAVESE</v>
          </cell>
          <cell r="H476" t="str">
            <v>TO</v>
          </cell>
          <cell r="I476" t="str">
            <v>ITALIA</v>
          </cell>
          <cell r="J476" t="str">
            <v>348-1559771</v>
          </cell>
        </row>
        <row r="477">
          <cell r="B477">
            <v>6861</v>
          </cell>
          <cell r="C477" t="str">
            <v>CAFFERRI DI  FLAVIO FERRI</v>
          </cell>
          <cell r="D477" t="str">
            <v>02692790021 FRRFLV65B28L219R</v>
          </cell>
          <cell r="E477" t="str">
            <v>VIA XX SETTEMBRE, 5</v>
          </cell>
          <cell r="F477">
            <v>13043</v>
          </cell>
          <cell r="G477" t="str">
            <v>CIGLIANO</v>
          </cell>
          <cell r="H477" t="str">
            <v>VC</v>
          </cell>
          <cell r="I477" t="str">
            <v>ITALIA</v>
          </cell>
          <cell r="J477" t="str">
            <v>389-3486486</v>
          </cell>
        </row>
        <row r="478">
          <cell r="B478">
            <v>6497</v>
          </cell>
          <cell r="C478" t="str">
            <v>CAFFERRI S.R.L.S.</v>
          </cell>
          <cell r="D478" t="str">
            <v>02641760026 02641760026</v>
          </cell>
          <cell r="E478" t="str">
            <v>VIA XX SETTEMBRE, 5</v>
          </cell>
          <cell r="F478">
            <v>13043</v>
          </cell>
          <cell r="G478" t="str">
            <v>CIGLIANO</v>
          </cell>
          <cell r="H478" t="str">
            <v>VC</v>
          </cell>
          <cell r="I478" t="str">
            <v>ITALIA</v>
          </cell>
          <cell r="J478" t="str">
            <v>339-6186714</v>
          </cell>
        </row>
        <row r="479">
          <cell r="B479">
            <v>4298</v>
          </cell>
          <cell r="C479" t="str">
            <v>CAFFETTERIA  AUTOMATICA DI  CRAMEROTTI  MASSIMO</v>
          </cell>
          <cell r="D479" t="str">
            <v>01791960592 01791960592</v>
          </cell>
          <cell r="E479" t="str">
            <v>VIA APRILIANA, 96</v>
          </cell>
          <cell r="F479">
            <v>4011</v>
          </cell>
          <cell r="G479" t="str">
            <v>APRILIA</v>
          </cell>
          <cell r="H479" t="str">
            <v>LT</v>
          </cell>
          <cell r="I479" t="str">
            <v>ITALIA</v>
          </cell>
          <cell r="J479" t="str">
            <v>06-9256042</v>
          </cell>
        </row>
        <row r="480">
          <cell r="B480">
            <v>3876</v>
          </cell>
          <cell r="C480" t="str">
            <v>CAFFETTERIA  LEOPARDI</v>
          </cell>
          <cell r="D480" t="str">
            <v>08488590012 FLLRNT58M17C351Z</v>
          </cell>
          <cell r="E480" t="str">
            <v>VIA LEOPARDI, 28</v>
          </cell>
          <cell r="F480">
            <v>10093</v>
          </cell>
          <cell r="G480" t="str">
            <v>COLLEGNO</v>
          </cell>
          <cell r="H480" t="str">
            <v>TO</v>
          </cell>
          <cell r="I480" t="str">
            <v>ITALIA</v>
          </cell>
          <cell r="J480" t="str">
            <v>011-4038779</v>
          </cell>
        </row>
        <row r="481">
          <cell r="B481">
            <v>6850</v>
          </cell>
          <cell r="C481" t="str">
            <v>CAFFETTERIA DI  SIVIERI TIZIANA &amp;  C S.N.C.</v>
          </cell>
          <cell r="D481" t="str">
            <v>11451100017</v>
          </cell>
          <cell r="E481" t="str">
            <v>VIA TORINO, 190</v>
          </cell>
          <cell r="F481">
            <v>10028</v>
          </cell>
          <cell r="G481" t="str">
            <v>TROFARELLO</v>
          </cell>
          <cell r="H481" t="str">
            <v>TO</v>
          </cell>
          <cell r="I481" t="str">
            <v>ITALIA</v>
          </cell>
          <cell r="J481" t="str">
            <v>339-4469881</v>
          </cell>
        </row>
        <row r="482">
          <cell r="B482">
            <v>6468</v>
          </cell>
          <cell r="C482" t="str">
            <v>CAFFETTERIA LO  CHALET DI  SARGHELIU ELENA</v>
          </cell>
          <cell r="D482" t="str">
            <v>06127640966 SRGLNE64C42Z140 M</v>
          </cell>
          <cell r="E482" t="str">
            <v>VIA CAMILLO BENSO DI  CAVOUR, 80</v>
          </cell>
          <cell r="F482">
            <v>28066</v>
          </cell>
          <cell r="G482" t="str">
            <v>GALLIATE</v>
          </cell>
          <cell r="H482" t="str">
            <v>NO</v>
          </cell>
          <cell r="I482" t="str">
            <v>ITALIA</v>
          </cell>
          <cell r="J482" t="str">
            <v xml:space="preserve">339-7152109 </v>
          </cell>
        </row>
        <row r="483">
          <cell r="B483">
            <v>6770</v>
          </cell>
          <cell r="C483" t="str">
            <v>CAFFETTUCCIO  DI ALESSANDRA  CASAMENTO</v>
          </cell>
          <cell r="D483" t="str">
            <v>09692300966 CSMLSN69S63F205 T</v>
          </cell>
          <cell r="E483" t="str">
            <v>VIA PEREGROSSO, 32</v>
          </cell>
          <cell r="F483">
            <v>20060</v>
          </cell>
          <cell r="G483" t="str">
            <v>POZZUOLO  MARTESANA</v>
          </cell>
          <cell r="H483" t="str">
            <v>MI</v>
          </cell>
          <cell r="I483" t="str">
            <v>ITALIA</v>
          </cell>
          <cell r="J483" t="str">
            <v>349-7419349</v>
          </cell>
        </row>
        <row r="484">
          <cell r="B484">
            <v>6883</v>
          </cell>
          <cell r="C484" t="str">
            <v>CAFFETTUCCIO DI  PASOLINI LILIANA</v>
          </cell>
          <cell r="D484" t="str">
            <v>09519860960 PSLLLN63H67F205E</v>
          </cell>
          <cell r="E484" t="str">
            <v>VIA VARESINA, 44</v>
          </cell>
          <cell r="F484">
            <v>21040</v>
          </cell>
          <cell r="G484" t="str">
            <v>JERAGO CON  ORAGO</v>
          </cell>
          <cell r="H484" t="str">
            <v>VA</v>
          </cell>
          <cell r="I484" t="str">
            <v>ITALIA</v>
          </cell>
          <cell r="J484" t="str">
            <v>0331-1484602</v>
          </cell>
        </row>
        <row r="485">
          <cell r="B485">
            <v>6905</v>
          </cell>
          <cell r="C485" t="str">
            <v>CALABRESE  VIRGINIA</v>
          </cell>
          <cell r="D485" t="str">
            <v>11868900017 CLBVGN81C64L219 N</v>
          </cell>
          <cell r="E485" t="str">
            <v>VIA COLONNELLO  BETTOIA, 7</v>
          </cell>
          <cell r="F485">
            <v>10014</v>
          </cell>
          <cell r="G485" t="str">
            <v>CALUSO</v>
          </cell>
          <cell r="H485" t="str">
            <v>TO</v>
          </cell>
          <cell r="I485" t="str">
            <v>ITALIA</v>
          </cell>
          <cell r="J485" t="str">
            <v>011-2489835</v>
          </cell>
        </row>
        <row r="486">
          <cell r="B486">
            <v>3272</v>
          </cell>
          <cell r="C486" t="str">
            <v>CALCAGNO S.N. C.</v>
          </cell>
          <cell r="D486" t="str">
            <v>06215530962 06215530962</v>
          </cell>
          <cell r="E486" t="str">
            <v>VIA VERBANO, 1/A</v>
          </cell>
          <cell r="F486">
            <v>20031</v>
          </cell>
          <cell r="G486" t="str">
            <v>CESANO  MADERNO</v>
          </cell>
          <cell r="H486" t="str">
            <v>MI</v>
          </cell>
          <cell r="I486" t="str">
            <v>ITALIA</v>
          </cell>
          <cell r="J486" t="str">
            <v>335-6058901</v>
          </cell>
        </row>
        <row r="487">
          <cell r="B487">
            <v>7419</v>
          </cell>
          <cell r="C487" t="str">
            <v>CALIENTO CAMILLA</v>
          </cell>
          <cell r="D487" t="str">
            <v>CLNCLL85P65H501P</v>
          </cell>
          <cell r="E487" t="str">
            <v>VIA CHIANA, 35</v>
          </cell>
          <cell r="F487">
            <v>198</v>
          </cell>
          <cell r="G487" t="str">
            <v>ROMA</v>
          </cell>
          <cell r="H487" t="str">
            <v>RM</v>
          </cell>
          <cell r="I487" t="str">
            <v>ITALIA</v>
          </cell>
          <cell r="J487" t="str">
            <v>338-1469275</v>
          </cell>
        </row>
        <row r="488">
          <cell r="B488">
            <v>3326</v>
          </cell>
          <cell r="C488" t="str">
            <v>CALLONI MARIO</v>
          </cell>
          <cell r="D488" t="str">
            <v>CLLMRA49P13F704 W</v>
          </cell>
          <cell r="E488" t="str">
            <v>VIA CANOVA, 28</v>
          </cell>
          <cell r="F488">
            <v>20052</v>
          </cell>
          <cell r="G488" t="str">
            <v>MONZA</v>
          </cell>
          <cell r="H488" t="str">
            <v>MI</v>
          </cell>
          <cell r="I488" t="str">
            <v>ITALIA</v>
          </cell>
          <cell r="J488" t="str">
            <v>348-6507367</v>
          </cell>
        </row>
        <row r="489">
          <cell r="B489">
            <v>4402</v>
          </cell>
          <cell r="C489" t="str">
            <v>CAMERACAFFE' DI  DALLERA GABRIELE</v>
          </cell>
          <cell r="D489" t="str">
            <v>02340170063</v>
          </cell>
          <cell r="E489" t="str">
            <v>VIA COLOMBAROLA, 22</v>
          </cell>
          <cell r="F489">
            <v>15045</v>
          </cell>
          <cell r="G489" t="str">
            <v>SALE</v>
          </cell>
          <cell r="H489" t="str">
            <v>AL</v>
          </cell>
          <cell r="I489" t="str">
            <v>ITALIA</v>
          </cell>
          <cell r="J489" t="str">
            <v>345-7213706</v>
          </cell>
        </row>
        <row r="490">
          <cell r="B490">
            <v>2956</v>
          </cell>
          <cell r="C490" t="str">
            <v>CAMERAN ALDO</v>
          </cell>
          <cell r="D490" t="str">
            <v>03961640012 CMRLDA57R09L727 J</v>
          </cell>
          <cell r="E490" t="str">
            <v>VIA SURA, 37</v>
          </cell>
          <cell r="F490">
            <v>10022</v>
          </cell>
          <cell r="G490" t="str">
            <v>CARMAGNOLA</v>
          </cell>
          <cell r="H490" t="str">
            <v>TO</v>
          </cell>
          <cell r="I490" t="str">
            <v>ITALIA</v>
          </cell>
          <cell r="J490" t="str">
            <v>339-3202182</v>
          </cell>
        </row>
        <row r="491">
          <cell r="B491">
            <v>7032</v>
          </cell>
          <cell r="C491" t="str">
            <v>CAMERIERE  SALVATORE</v>
          </cell>
          <cell r="D491" t="str">
            <v>CMRSVT87L31D086 C</v>
          </cell>
          <cell r="E491" t="str">
            <v>VIA LUIGI GORGNI, 13</v>
          </cell>
          <cell r="F491">
            <v>29122</v>
          </cell>
          <cell r="G491" t="str">
            <v>PIACENZA</v>
          </cell>
          <cell r="H491" t="str">
            <v>PC</v>
          </cell>
          <cell r="I491" t="str">
            <v>ITALIA</v>
          </cell>
          <cell r="J491" t="str">
            <v>347-9880075</v>
          </cell>
        </row>
        <row r="492">
          <cell r="B492">
            <v>6986</v>
          </cell>
          <cell r="C492" t="str">
            <v>CAMERINI SONDRA</v>
          </cell>
          <cell r="D492" t="str">
            <v>CMRSDR63D69H50 1J</v>
          </cell>
          <cell r="E492" t="str">
            <v>VIA CORRADO ALVARO, 4</v>
          </cell>
          <cell r="F492">
            <v>13</v>
          </cell>
          <cell r="G492" t="str">
            <v>FONTE NUOVA</v>
          </cell>
          <cell r="H492" t="str">
            <v>RM</v>
          </cell>
          <cell r="I492" t="str">
            <v>ITALIA</v>
          </cell>
          <cell r="J492"/>
        </row>
        <row r="493">
          <cell r="B493">
            <v>7468</v>
          </cell>
          <cell r="C493" t="str">
            <v>CAMPING IL MELO  DI VITILLO  CRISTINA</v>
          </cell>
          <cell r="D493" t="str">
            <v>10204410012 VTLCST79E64L219Y</v>
          </cell>
          <cell r="E493" t="str">
            <v>VIA DELLO SPORT, 1</v>
          </cell>
          <cell r="F493">
            <v>12016</v>
          </cell>
          <cell r="G493" t="str">
            <v>PEVERAGNO</v>
          </cell>
          <cell r="H493" t="str">
            <v>CN</v>
          </cell>
          <cell r="I493" t="str">
            <v>ITALIA</v>
          </cell>
          <cell r="J493"/>
        </row>
        <row r="494">
          <cell r="B494">
            <v>3696</v>
          </cell>
          <cell r="C494" t="str">
            <v>CAMPISI  ANTONIO</v>
          </cell>
          <cell r="D494" t="str">
            <v>01883050997 01883050997</v>
          </cell>
          <cell r="E494" t="str">
            <v>VIA LITTARDI, 56</v>
          </cell>
          <cell r="F494">
            <v>18100</v>
          </cell>
          <cell r="G494" t="str">
            <v>IMPERIA</v>
          </cell>
          <cell r="H494" t="str">
            <v>IM</v>
          </cell>
          <cell r="I494" t="str">
            <v>ITALIA</v>
          </cell>
          <cell r="J494" t="str">
            <v xml:space="preserve">0183-661161 </v>
          </cell>
        </row>
        <row r="495">
          <cell r="B495">
            <v>5242</v>
          </cell>
          <cell r="C495" t="str">
            <v>CANAVESE  VENDING DI GETTO  MAURIZIO</v>
          </cell>
          <cell r="D495" t="str">
            <v>05438240011 GTTMRZ59C04E379 M</v>
          </cell>
          <cell r="E495" t="str">
            <v>VIA LAGO SAN MICHELE,  39/5</v>
          </cell>
          <cell r="F495">
            <v>10015</v>
          </cell>
          <cell r="G495" t="str">
            <v>IVREA</v>
          </cell>
          <cell r="H495" t="str">
            <v>TO</v>
          </cell>
          <cell r="I495" t="str">
            <v>ITALIA</v>
          </cell>
          <cell r="J495" t="str">
            <v>0125-616835</v>
          </cell>
        </row>
        <row r="496">
          <cell r="B496">
            <v>4565</v>
          </cell>
          <cell r="C496" t="str">
            <v>CANAVESE  ZUCCHERO S.N.C.</v>
          </cell>
          <cell r="D496" t="str">
            <v>09653110016 09653110016</v>
          </cell>
          <cell r="E496" t="str">
            <v>VIA ANTONIO ULIGINI, 10  B</v>
          </cell>
          <cell r="F496">
            <v>10086</v>
          </cell>
          <cell r="G496" t="str">
            <v>RIVAROLO  CANAVESE</v>
          </cell>
          <cell r="H496" t="str">
            <v>TO</v>
          </cell>
          <cell r="I496" t="str">
            <v>ITALIA</v>
          </cell>
          <cell r="J496" t="str">
            <v>348-8685178</v>
          </cell>
        </row>
        <row r="497">
          <cell r="B497">
            <v>7485</v>
          </cell>
          <cell r="C497" t="str">
            <v>CANAVESI PAOLA</v>
          </cell>
          <cell r="D497" t="str">
            <v>CNVPLA73T50E514 K</v>
          </cell>
          <cell r="E497" t="str">
            <v>STATALE DEI GIOVI 66</v>
          </cell>
          <cell r="F497">
            <v>22070</v>
          </cell>
          <cell r="G497" t="str">
            <v>GRANDATE</v>
          </cell>
          <cell r="H497" t="str">
            <v>CO</v>
          </cell>
          <cell r="I497" t="str">
            <v>ITALIA</v>
          </cell>
          <cell r="J497" t="str">
            <v>333-2087943</v>
          </cell>
        </row>
        <row r="498">
          <cell r="B498">
            <v>7453</v>
          </cell>
          <cell r="C498" t="str">
            <v>CANAZZA CHETI</v>
          </cell>
          <cell r="D498" t="str">
            <v>CNZCHT59T43I319 H</v>
          </cell>
          <cell r="E498" t="str">
            <v>VIA LUCIANO MARCHI 9/A</v>
          </cell>
          <cell r="F498">
            <v>44034</v>
          </cell>
          <cell r="G498" t="str">
            <v>COPPARO</v>
          </cell>
          <cell r="H498" t="str">
            <v>FE</v>
          </cell>
          <cell r="I498" t="str">
            <v>ITALIA</v>
          </cell>
          <cell r="J498" t="str">
            <v>347-6096961</v>
          </cell>
        </row>
        <row r="499">
          <cell r="B499">
            <v>4955</v>
          </cell>
          <cell r="C499" t="str">
            <v>CANBERT DI  CANNIZZARO G. &amp;  C. S.A.S</v>
          </cell>
          <cell r="D499" t="str">
            <v>01582280093 01582280093</v>
          </cell>
          <cell r="E499" t="str">
            <v>PIAZZA DEL POPOLO, 2/5B</v>
          </cell>
          <cell r="F499">
            <v>17100</v>
          </cell>
          <cell r="G499" t="str">
            <v>SAVONA</v>
          </cell>
          <cell r="H499" t="str">
            <v>SV</v>
          </cell>
          <cell r="I499" t="str">
            <v>ITALIA</v>
          </cell>
          <cell r="J499" t="str">
            <v>347-9109924</v>
          </cell>
        </row>
        <row r="500">
          <cell r="B500">
            <v>2847</v>
          </cell>
          <cell r="C500" t="str">
            <v>CANNATELLI  ANTONINO</v>
          </cell>
          <cell r="D500" t="str">
            <v>08830980010 CNNNNN75C18L219 N</v>
          </cell>
          <cell r="E500" t="str">
            <v>CORSO SIRACUSA, 200</v>
          </cell>
          <cell r="F500">
            <v>10137</v>
          </cell>
          <cell r="G500" t="str">
            <v>TORINO</v>
          </cell>
          <cell r="H500" t="str">
            <v>TO</v>
          </cell>
          <cell r="I500" t="str">
            <v>ITALIA</v>
          </cell>
          <cell r="J500" t="str">
            <v>347-4023431</v>
          </cell>
        </row>
        <row r="501">
          <cell r="B501">
            <v>3240</v>
          </cell>
          <cell r="C501" t="str">
            <v>CANTALUPPI  TAVERNERIO S.P.A.</v>
          </cell>
          <cell r="D501" t="str">
            <v>02563170139 02563170139</v>
          </cell>
          <cell r="E501" t="str">
            <v>VIA G. MARCONI, 3/5</v>
          </cell>
          <cell r="F501">
            <v>22032</v>
          </cell>
          <cell r="G501" t="str">
            <v>ALBESE CON  CASSANO</v>
          </cell>
          <cell r="H501" t="str">
            <v>CO</v>
          </cell>
          <cell r="I501" t="str">
            <v>ITALIA</v>
          </cell>
          <cell r="J501" t="str">
            <v>031-360315</v>
          </cell>
        </row>
        <row r="502">
          <cell r="B502">
            <v>4404</v>
          </cell>
          <cell r="C502" t="str">
            <v>CAPITANI S.R.L.</v>
          </cell>
          <cell r="D502" t="str">
            <v>02535760165 02535760165</v>
          </cell>
          <cell r="E502" t="str">
            <v>PIAZZA IV NOVEMBRE, 1</v>
          </cell>
          <cell r="F502">
            <v>22070</v>
          </cell>
          <cell r="G502" t="str">
            <v>SOLBIATE  COMASCO</v>
          </cell>
          <cell r="H502" t="str">
            <v>CO</v>
          </cell>
          <cell r="I502" t="str">
            <v>ITALIA</v>
          </cell>
          <cell r="J502" t="str">
            <v>031-802020</v>
          </cell>
        </row>
        <row r="503">
          <cell r="B503">
            <v>6982</v>
          </cell>
          <cell r="C503" t="str">
            <v>CAPITTINI PIERO</v>
          </cell>
          <cell r="D503" t="str">
            <v>CPTPRI49D17D872 M</v>
          </cell>
          <cell r="E503" t="str">
            <v>VIA RIGORINI, 5</v>
          </cell>
          <cell r="F503">
            <v>28066</v>
          </cell>
          <cell r="G503" t="str">
            <v>GALLIATE</v>
          </cell>
          <cell r="H503" t="str">
            <v>NO</v>
          </cell>
          <cell r="I503" t="str">
            <v>ITALIA</v>
          </cell>
          <cell r="J503" t="str">
            <v>347-8517509</v>
          </cell>
        </row>
        <row r="504">
          <cell r="B504">
            <v>7374</v>
          </cell>
          <cell r="C504" t="str">
            <v>CAPPABIANCA  ALESSANDRA</v>
          </cell>
          <cell r="D504" t="str">
            <v>CPPLSN72A67H501 S</v>
          </cell>
          <cell r="E504" t="str">
            <v>VIA FRANCESCO DENTI 1</v>
          </cell>
          <cell r="F504">
            <v>20133</v>
          </cell>
          <cell r="G504" t="str">
            <v>MILANO</v>
          </cell>
          <cell r="H504" t="str">
            <v>MI</v>
          </cell>
          <cell r="I504" t="str">
            <v>ITALIA</v>
          </cell>
          <cell r="J504" t="str">
            <v>335-8316839</v>
          </cell>
        </row>
        <row r="505">
          <cell r="B505">
            <v>4589</v>
          </cell>
          <cell r="C505" t="str">
            <v>CAPPONI PIERLUIGI</v>
          </cell>
          <cell r="D505" t="str">
            <v>02795820592 CPPPLG64B17H836 Z</v>
          </cell>
          <cell r="E505" t="str">
            <v>VIA BRUXELLES, 23</v>
          </cell>
          <cell r="F505">
            <v>4100</v>
          </cell>
          <cell r="G505" t="str">
            <v>LATINA</v>
          </cell>
          <cell r="H505" t="str">
            <v>LT</v>
          </cell>
          <cell r="I505" t="str">
            <v>ITALIA</v>
          </cell>
        </row>
        <row r="506">
          <cell r="B506">
            <v>7857</v>
          </cell>
          <cell r="C506" t="str">
            <v>CAPSULE &amp; CAFFE' S.A.S. DI ALBERTO MOSMOSI</v>
          </cell>
          <cell r="E506" t="str">
            <v>VIA RAMERA, 29</v>
          </cell>
          <cell r="F506">
            <v>24010</v>
          </cell>
          <cell r="G506" t="str">
            <v>PONTERANICA</v>
          </cell>
          <cell r="H506" t="str">
            <v>BG</v>
          </cell>
          <cell r="I506" t="str">
            <v>ITALIA</v>
          </cell>
          <cell r="J506" t="str">
            <v>391-4078648</v>
          </cell>
        </row>
        <row r="507">
          <cell r="B507">
            <v>7079</v>
          </cell>
          <cell r="C507" t="str">
            <v>CAPSULE &amp; CO DI  SONIA BOUNOUS</v>
          </cell>
          <cell r="D507" t="str">
            <v>12167680011 BNSSNO87L65G674 H</v>
          </cell>
          <cell r="E507" t="str">
            <v>VIA TRENTO, 48</v>
          </cell>
          <cell r="F507">
            <v>10064</v>
          </cell>
          <cell r="G507" t="str">
            <v>PINEROLO</v>
          </cell>
          <cell r="H507" t="str">
            <v>TO</v>
          </cell>
          <cell r="I507" t="str">
            <v>ITALIA</v>
          </cell>
          <cell r="J507" t="str">
            <v>348-3947287</v>
          </cell>
        </row>
        <row r="508">
          <cell r="B508">
            <v>6492</v>
          </cell>
          <cell r="C508" t="str">
            <v>CAPSULE E CAFFE'  DI ANDRIAN  MIHEREA</v>
          </cell>
          <cell r="D508" t="str">
            <v>11617540015 MHRNRN90D19Z140 R</v>
          </cell>
          <cell r="E508" t="str">
            <v>VIA MADAMA CRISTINA,  98</v>
          </cell>
          <cell r="F508">
            <v>10126</v>
          </cell>
          <cell r="G508" t="str">
            <v>TORINO</v>
          </cell>
          <cell r="H508" t="str">
            <v>TO</v>
          </cell>
          <cell r="I508" t="str">
            <v>ITALIA</v>
          </cell>
          <cell r="J508" t="str">
            <v>011-7930972</v>
          </cell>
        </row>
        <row r="509">
          <cell r="B509">
            <v>6660</v>
          </cell>
          <cell r="C509" t="str">
            <v>CAPSULE E CAFFE'  DI CESANO SIMONA</v>
          </cell>
          <cell r="D509" t="str">
            <v>03768630042 CSNSMN81H65B111 U</v>
          </cell>
          <cell r="E509" t="str">
            <v>VIA PIAVE, 3</v>
          </cell>
          <cell r="F509">
            <v>12044</v>
          </cell>
          <cell r="G509" t="str">
            <v>CENTALLO</v>
          </cell>
          <cell r="H509" t="str">
            <v>CN</v>
          </cell>
          <cell r="I509" t="str">
            <v>ITALIA</v>
          </cell>
          <cell r="J509" t="str">
            <v>0171-618100</v>
          </cell>
        </row>
        <row r="510">
          <cell r="B510">
            <v>6637</v>
          </cell>
          <cell r="C510" t="str">
            <v>CAPSULE MANIA DI  ROMITO ALFONSO  MARINO</v>
          </cell>
          <cell r="D510" t="str">
            <v>11286020158 RMTLNS66M17F205 H</v>
          </cell>
          <cell r="E510" t="str">
            <v>VIA ULISSE SALIS, 8</v>
          </cell>
          <cell r="F510">
            <v>20161</v>
          </cell>
          <cell r="G510" t="str">
            <v>MILANO</v>
          </cell>
          <cell r="H510" t="str">
            <v>MI</v>
          </cell>
          <cell r="I510" t="str">
            <v>ITALIA</v>
          </cell>
          <cell r="J510" t="str">
            <v>02-94768572</v>
          </cell>
        </row>
        <row r="511">
          <cell r="B511">
            <v>6800</v>
          </cell>
          <cell r="C511" t="str">
            <v>CAPSULE&amp;CO DI MASCELLARO LUCA</v>
          </cell>
          <cell r="D511" t="str">
            <v>10206890963 MSCLCU71P20F839 T</v>
          </cell>
          <cell r="E511" t="str">
            <v>PIAZZA ITALIA, 3C</v>
          </cell>
          <cell r="F511">
            <v>20093</v>
          </cell>
          <cell r="G511" t="str">
            <v>COLOGNO MONZESE</v>
          </cell>
          <cell r="H511" t="str">
            <v>MI</v>
          </cell>
          <cell r="I511" t="str">
            <v>ITALIA</v>
          </cell>
          <cell r="J511" t="str">
            <v>348-3774221</v>
          </cell>
        </row>
        <row r="512">
          <cell r="B512">
            <v>7399</v>
          </cell>
          <cell r="C512" t="str">
            <v>CAPUZZI ALICE</v>
          </cell>
          <cell r="D512" t="str">
            <v>CPZLCA85B56E884 N</v>
          </cell>
          <cell r="E512" t="str">
            <v>VIA LOMBARDIA 2 -  COMPLESSO SIRIO</v>
          </cell>
          <cell r="F512">
            <v>25025</v>
          </cell>
          <cell r="G512" t="str">
            <v>MANERBIO</v>
          </cell>
          <cell r="H512" t="str">
            <v>BS</v>
          </cell>
          <cell r="I512" t="str">
            <v>ITALIA</v>
          </cell>
          <cell r="J512" t="str">
            <v>328-5997559</v>
          </cell>
        </row>
        <row r="513">
          <cell r="B513">
            <v>6381</v>
          </cell>
          <cell r="C513" t="str">
            <v>CAR WASH SHOP &amp;  SERVICE S.R.L.</v>
          </cell>
          <cell r="D513" t="str">
            <v>07970950015 07970950015</v>
          </cell>
          <cell r="E513" t="str">
            <v>VIA FERRERO, 108</v>
          </cell>
          <cell r="F513">
            <v>10098</v>
          </cell>
          <cell r="G513" t="str">
            <v>RIVOLI</v>
          </cell>
          <cell r="H513" t="str">
            <v>TO</v>
          </cell>
          <cell r="I513" t="str">
            <v>ITALIA</v>
          </cell>
          <cell r="J513" t="str">
            <v>011-19700938</v>
          </cell>
        </row>
        <row r="514">
          <cell r="B514">
            <v>6508</v>
          </cell>
          <cell r="C514" t="str">
            <v>CARAIBI CAFE DI  CUELLO PEREZ ANNI  LEIBI</v>
          </cell>
          <cell r="D514" t="str">
            <v>11370500016 CLLNLB82L47Z505F</v>
          </cell>
          <cell r="E514" t="str">
            <v>CORSO PALESTRO, 22/F</v>
          </cell>
          <cell r="F514">
            <v>10100</v>
          </cell>
          <cell r="G514" t="str">
            <v>TORINO</v>
          </cell>
          <cell r="H514" t="str">
            <v>TO</v>
          </cell>
          <cell r="I514" t="str">
            <v>ITALIA</v>
          </cell>
          <cell r="J514" t="str">
            <v>349-5887935</v>
          </cell>
        </row>
        <row r="515">
          <cell r="B515">
            <v>7246</v>
          </cell>
          <cell r="C515" t="str">
            <v>CARBAJAL  HERMITANO  JESSICA MARLENE</v>
          </cell>
          <cell r="D515" t="str">
            <v>CRBJSC88C47Z611 J</v>
          </cell>
          <cell r="E515" t="str">
            <v>VIA GIULIO GALLI 67 INT.  18</v>
          </cell>
          <cell r="F515">
            <v>123</v>
          </cell>
          <cell r="G515" t="str">
            <v>ROMA</v>
          </cell>
          <cell r="H515" t="str">
            <v>RM</v>
          </cell>
          <cell r="I515" t="str">
            <v>ITALIA</v>
          </cell>
          <cell r="J515" t="str">
            <v>349-5210343</v>
          </cell>
        </row>
        <row r="516">
          <cell r="B516">
            <v>7069</v>
          </cell>
          <cell r="C516" t="str">
            <v>CARDELLINI  EDOARDO</v>
          </cell>
          <cell r="D516" t="str">
            <v>CRDDRD82T15D61 2M</v>
          </cell>
          <cell r="E516" t="str">
            <v>VIA LUDOVICO CIGOLI,  20</v>
          </cell>
          <cell r="F516">
            <v>50142</v>
          </cell>
          <cell r="G516" t="str">
            <v>FIRENZE</v>
          </cell>
          <cell r="H516" t="str">
            <v>FI</v>
          </cell>
          <cell r="I516" t="str">
            <v>ITALIA</v>
          </cell>
          <cell r="J516" t="str">
            <v>339-3178008</v>
          </cell>
        </row>
        <row r="517">
          <cell r="B517">
            <v>4202</v>
          </cell>
          <cell r="C517" t="str">
            <v>CARINGELLA S.A.S.  DI CARINGELLA  FEDERICO &amp; C.</v>
          </cell>
          <cell r="D517" t="str">
            <v>01618690091 01618690091</v>
          </cell>
          <cell r="E517" t="str">
            <v>VIALE RINALDO PIAGGIO  6</v>
          </cell>
          <cell r="F517">
            <v>17024</v>
          </cell>
          <cell r="G517" t="str">
            <v>FINALE LIGURE</v>
          </cell>
          <cell r="H517" t="str">
            <v>SV</v>
          </cell>
          <cell r="I517" t="str">
            <v>ITALIA</v>
          </cell>
          <cell r="J517" t="str">
            <v>340-7818338</v>
          </cell>
        </row>
        <row r="518">
          <cell r="B518">
            <v>7276</v>
          </cell>
          <cell r="C518" t="str">
            <v>CARLESI FEDRA</v>
          </cell>
          <cell r="D518" t="str">
            <v>CRLFDR73D42G999 S</v>
          </cell>
          <cell r="E518" t="str">
            <v>VIA MEAZZI 25</v>
          </cell>
          <cell r="F518">
            <v>51019</v>
          </cell>
          <cell r="G518" t="str">
            <v>PONTE  BUGGIANESE</v>
          </cell>
          <cell r="H518" t="str">
            <v>PT</v>
          </cell>
          <cell r="I518" t="str">
            <v>ITALIA</v>
          </cell>
          <cell r="J518" t="str">
            <v>347-6078689</v>
          </cell>
        </row>
        <row r="519">
          <cell r="B519">
            <v>6540</v>
          </cell>
          <cell r="C519" t="str">
            <v>CARRE' ROBERTO</v>
          </cell>
          <cell r="D519" t="str">
            <v>CRRRRT62C28L219 Z</v>
          </cell>
          <cell r="E519" t="str">
            <v>VIA PALESTRO, 16</v>
          </cell>
          <cell r="F519">
            <v>10036</v>
          </cell>
          <cell r="G519" t="str">
            <v>SETTIMO T.SE</v>
          </cell>
          <cell r="H519" t="str">
            <v>TO</v>
          </cell>
          <cell r="I519" t="str">
            <v>ITALIA</v>
          </cell>
          <cell r="J519" t="str">
            <v>335-6790885</v>
          </cell>
        </row>
        <row r="520">
          <cell r="B520">
            <v>7207</v>
          </cell>
          <cell r="C520" t="str">
            <v>CARRELLI ERIKA</v>
          </cell>
          <cell r="D520" t="str">
            <v>CRRRKE90P50B519 P</v>
          </cell>
          <cell r="E520" t="str">
            <v>VIA SANTA LUCIA, 85</v>
          </cell>
          <cell r="F520">
            <v>86100</v>
          </cell>
          <cell r="G520" t="str">
            <v>SANTO STEFANO</v>
          </cell>
          <cell r="H520" t="str">
            <v>CB</v>
          </cell>
          <cell r="I520" t="str">
            <v>ITALIA</v>
          </cell>
          <cell r="J520" t="str">
            <v>340-8311889</v>
          </cell>
        </row>
        <row r="521">
          <cell r="B521">
            <v>7299</v>
          </cell>
          <cell r="C521" t="str">
            <v>CARRIERO ANNA</v>
          </cell>
          <cell r="D521" t="str">
            <v>CRRNNA64S48D593 T</v>
          </cell>
          <cell r="E521" t="str">
            <v>VIA ALBERTO ZIVERI 12</v>
          </cell>
          <cell r="F521">
            <v>155</v>
          </cell>
          <cell r="G521" t="str">
            <v>ROMA</v>
          </cell>
          <cell r="H521" t="str">
            <v>RM</v>
          </cell>
          <cell r="I521" t="str">
            <v>ITALIA</v>
          </cell>
          <cell r="J521" t="str">
            <v>340-8696396</v>
          </cell>
        </row>
        <row r="522">
          <cell r="B522">
            <v>7026</v>
          </cell>
          <cell r="C522" t="str">
            <v>CARTA CINZIA</v>
          </cell>
          <cell r="D522" t="str">
            <v>CRTCNZ62C52D969 K</v>
          </cell>
          <cell r="E522" t="str">
            <v>VIA DELLE MURASSE, 14/C</v>
          </cell>
          <cell r="F522">
            <v>11029</v>
          </cell>
          <cell r="G522" t="str">
            <v>VERRES</v>
          </cell>
          <cell r="H522" t="str">
            <v>AO</v>
          </cell>
          <cell r="I522" t="str">
            <v>ITALIA</v>
          </cell>
          <cell r="J522" t="str">
            <v>347-0886758</v>
          </cell>
        </row>
        <row r="523">
          <cell r="B523">
            <v>3471</v>
          </cell>
          <cell r="C523" t="str">
            <v>CAR-TEL S.N.C.</v>
          </cell>
          <cell r="D523" t="str">
            <v>02383770027 02383770027</v>
          </cell>
          <cell r="E523" t="str">
            <v>VIA CARLO NOE', 48</v>
          </cell>
          <cell r="F523">
            <v>21013</v>
          </cell>
          <cell r="G523" t="str">
            <v>GALLARATE</v>
          </cell>
          <cell r="H523" t="str">
            <v>VA</v>
          </cell>
          <cell r="I523" t="str">
            <v>ITALIA</v>
          </cell>
          <cell r="J523" t="str">
            <v>0331-786148</v>
          </cell>
        </row>
        <row r="524">
          <cell r="B524">
            <v>6618</v>
          </cell>
          <cell r="C524" t="str">
            <v>CASA ALESSANDRA SC. S.N.C.</v>
          </cell>
          <cell r="D524" t="str">
            <v>04402320230 04402320230</v>
          </cell>
          <cell r="E524" t="str">
            <v>VIA LAVEI, 2</v>
          </cell>
          <cell r="F524">
            <v>37018</v>
          </cell>
          <cell r="G524" t="str">
            <v>MALCESINE</v>
          </cell>
          <cell r="H524" t="str">
            <v>VR</v>
          </cell>
          <cell r="I524" t="str">
            <v>ITALIA</v>
          </cell>
          <cell r="J524" t="str">
            <v>335-5745020</v>
          </cell>
        </row>
        <row r="525">
          <cell r="B525">
            <v>5039</v>
          </cell>
          <cell r="C525" t="str">
            <v>CASA DEL CAFFE'  VERGNANO S.P.A</v>
          </cell>
          <cell r="D525" t="str">
            <v>00169040011</v>
          </cell>
          <cell r="E525" t="str">
            <v>SS. TORINO-ASTI, KM. 20</v>
          </cell>
          <cell r="F525">
            <v>10026</v>
          </cell>
          <cell r="G525" t="str">
            <v>SANTENA</v>
          </cell>
          <cell r="H525" t="str">
            <v>TO</v>
          </cell>
          <cell r="I525" t="str">
            <v>ITALIA</v>
          </cell>
          <cell r="J525" t="str">
            <v>011-9455111</v>
          </cell>
        </row>
        <row r="526">
          <cell r="B526">
            <v>1707</v>
          </cell>
          <cell r="C526" t="str">
            <v>CASA DI CURA L' EREMO DI  MIAZZINA S.P.A.</v>
          </cell>
          <cell r="D526" t="str">
            <v>01823600034 05788741006</v>
          </cell>
          <cell r="E526" t="str">
            <v>VIA PER MIAZZINA, 16</v>
          </cell>
          <cell r="F526">
            <v>28814</v>
          </cell>
          <cell r="G526" t="str">
            <v>CAMBIASCA</v>
          </cell>
          <cell r="H526" t="str">
            <v>VB</v>
          </cell>
          <cell r="I526" t="str">
            <v>ITALIA</v>
          </cell>
          <cell r="J526" t="str">
            <v>0323-553700</v>
          </cell>
        </row>
        <row r="527">
          <cell r="B527">
            <v>6523</v>
          </cell>
          <cell r="C527" t="str">
            <v>CASA MIA SERVICE  S.R.L.</v>
          </cell>
          <cell r="D527" t="str">
            <v>11751920015 11751920015</v>
          </cell>
          <cell r="E527" t="str">
            <v>CORSO GALILEO  FERRARIS, 80</v>
          </cell>
          <cell r="F527">
            <v>10100</v>
          </cell>
          <cell r="G527" t="str">
            <v>TORINO</v>
          </cell>
          <cell r="H527" t="str">
            <v>TO</v>
          </cell>
          <cell r="I527" t="str">
            <v>ITALIA</v>
          </cell>
          <cell r="J527" t="str">
            <v>331-9943368</v>
          </cell>
        </row>
        <row r="528">
          <cell r="B528">
            <v>4539</v>
          </cell>
          <cell r="C528" t="str">
            <v>CASA MIA SRLS</v>
          </cell>
          <cell r="D528" t="str">
            <v>11145660012 11145660012</v>
          </cell>
          <cell r="E528" t="str">
            <v>VIA ROCCO SCOTELLARO, 33</v>
          </cell>
          <cell r="F528">
            <v>10155</v>
          </cell>
          <cell r="G528" t="str">
            <v>TORINO</v>
          </cell>
          <cell r="H528" t="str">
            <v>TO</v>
          </cell>
          <cell r="I528" t="str">
            <v>ITALIA</v>
          </cell>
          <cell r="J528" t="str">
            <v>331-9943368</v>
          </cell>
        </row>
        <row r="529">
          <cell r="B529">
            <v>7335</v>
          </cell>
          <cell r="C529" t="str">
            <v>CASALI MARIANGELA</v>
          </cell>
          <cell r="D529" t="str">
            <v>CSLMRA61T47D450 M</v>
          </cell>
          <cell r="E529" t="str">
            <v>VIA FALCONE 4</v>
          </cell>
          <cell r="F529">
            <v>42042</v>
          </cell>
          <cell r="G529" t="str">
            <v>FABBRICO</v>
          </cell>
          <cell r="H529" t="str">
            <v>RE</v>
          </cell>
          <cell r="I529" t="str">
            <v>ITALIA</v>
          </cell>
          <cell r="J529" t="str">
            <v>370-3090576</v>
          </cell>
        </row>
        <row r="530">
          <cell r="B530">
            <v>7200</v>
          </cell>
          <cell r="C530" t="str">
            <v>CASALINI  ALESSANDRO</v>
          </cell>
          <cell r="D530" t="str">
            <v>CSLLSN75S04C573 F</v>
          </cell>
          <cell r="E530" t="str">
            <v>VIA L. PERDISA, 13</v>
          </cell>
          <cell r="F530">
            <v>48026</v>
          </cell>
          <cell r="G530" t="str">
            <v>GODO</v>
          </cell>
          <cell r="H530" t="str">
            <v>RA</v>
          </cell>
          <cell r="I530" t="str">
            <v>ITALIA</v>
          </cell>
          <cell r="J530" t="str">
            <v>349-5483052</v>
          </cell>
        </row>
        <row r="531">
          <cell r="B531">
            <v>6812</v>
          </cell>
          <cell r="C531" t="str">
            <v>CASARIN S.N.C. DI  CASARIN LUCA E  MICHELE</v>
          </cell>
          <cell r="D531" t="str">
            <v>10729320969 10729320969</v>
          </cell>
          <cell r="E531" t="str">
            <v>VIA ANTONIO CANOVA, 3</v>
          </cell>
          <cell r="F531">
            <v>20010</v>
          </cell>
          <cell r="G531" t="str">
            <v>INVERUNO</v>
          </cell>
          <cell r="H531" t="str">
            <v>MI</v>
          </cell>
          <cell r="I531" t="str">
            <v>ITALIA</v>
          </cell>
          <cell r="J531" t="str">
            <v>338-7652757</v>
          </cell>
        </row>
        <row r="532">
          <cell r="B532">
            <v>6500</v>
          </cell>
          <cell r="C532" t="str">
            <v>CASCINA STELLA S. C.A.R.L.</v>
          </cell>
          <cell r="D532" t="str">
            <v>01216130052</v>
          </cell>
          <cell r="E532" t="str">
            <v>LOC. POGGIO, 91</v>
          </cell>
          <cell r="F532">
            <v>14100</v>
          </cell>
          <cell r="G532" t="str">
            <v>FRAZ.  PORTACOMARO  STAZIONE</v>
          </cell>
          <cell r="H532" t="str">
            <v>AT</v>
          </cell>
          <cell r="I532" t="str">
            <v>ITALIA</v>
          </cell>
          <cell r="J532"/>
        </row>
        <row r="533">
          <cell r="B533">
            <v>5574</v>
          </cell>
          <cell r="C533" t="str">
            <v>CASSETTA ROBERTO</v>
          </cell>
          <cell r="D533" t="str">
            <v>CSSRRT71D13L219 U</v>
          </cell>
          <cell r="E533" t="str">
            <v>VIA SAN MASSIMO, 19</v>
          </cell>
          <cell r="F533">
            <v>10100</v>
          </cell>
          <cell r="G533" t="str">
            <v>RIVALTA</v>
          </cell>
          <cell r="H533" t="str">
            <v>TO</v>
          </cell>
          <cell r="I533" t="str">
            <v>ITALIA</v>
          </cell>
          <cell r="J533" t="str">
            <v>335-1319192</v>
          </cell>
        </row>
        <row r="534">
          <cell r="B534">
            <v>7831</v>
          </cell>
          <cell r="C534" t="str">
            <v>CASTEL MAC S.R.L.</v>
          </cell>
          <cell r="E534" t="str">
            <v>VIA DEL LAVORO, 9</v>
          </cell>
          <cell r="F534">
            <v>31033</v>
          </cell>
          <cell r="G534" t="str">
            <v>CASTELFRANCO VENETO</v>
          </cell>
          <cell r="H534" t="str">
            <v>TV</v>
          </cell>
          <cell r="I534" t="str">
            <v>ITALIA</v>
          </cell>
          <cell r="J534" t="str">
            <v>349-9035643</v>
          </cell>
        </row>
        <row r="535">
          <cell r="B535">
            <v>4606</v>
          </cell>
          <cell r="C535" t="str">
            <v>CASTELMATIC DI  LAZZARONI  ELISABETTA</v>
          </cell>
          <cell r="D535" t="str">
            <v>02411880160 LZZLBT59L43F328W</v>
          </cell>
          <cell r="E535" t="str">
            <v>VIA F.LLI CALVI, 5</v>
          </cell>
          <cell r="F535">
            <v>24060</v>
          </cell>
          <cell r="G535" t="str">
            <v>CASAZZA</v>
          </cell>
          <cell r="H535" t="str">
            <v>BG</v>
          </cell>
          <cell r="I535" t="str">
            <v>ITALIA</v>
          </cell>
          <cell r="J535" t="str">
            <v xml:space="preserve">348-8745922 </v>
          </cell>
        </row>
        <row r="536">
          <cell r="B536">
            <v>7279</v>
          </cell>
          <cell r="C536" t="str">
            <v>CASTIGLIONE  RICCARDO</v>
          </cell>
          <cell r="D536" t="str">
            <v>CSTRCR81A02G438 J</v>
          </cell>
          <cell r="E536" t="str">
            <v>VIA CLEMENTE DE  CAESARIS 48</v>
          </cell>
          <cell r="F536">
            <v>65017</v>
          </cell>
          <cell r="G536" t="str">
            <v>PENNE</v>
          </cell>
          <cell r="H536" t="str">
            <v>PE</v>
          </cell>
          <cell r="I536" t="str">
            <v>ITALIA</v>
          </cell>
          <cell r="J536" t="str">
            <v>320-0767459</v>
          </cell>
        </row>
        <row r="537">
          <cell r="B537">
            <v>3027</v>
          </cell>
          <cell r="C537" t="str">
            <v>CAT SERVICE S.A.S.  DI SANDRI  MAURIZIO &amp; C.</v>
          </cell>
          <cell r="D537" t="str">
            <v>13171990156 13171990156</v>
          </cell>
          <cell r="E537" t="str">
            <v>VIA DEGLI ALPINI, 8</v>
          </cell>
          <cell r="F537">
            <v>20021</v>
          </cell>
          <cell r="G537" t="str">
            <v>BOLLATE</v>
          </cell>
          <cell r="H537" t="str">
            <v>MI</v>
          </cell>
          <cell r="I537" t="str">
            <v>ITALIA</v>
          </cell>
          <cell r="J537" t="str">
            <v>02-38306025</v>
          </cell>
        </row>
        <row r="538">
          <cell r="B538">
            <v>4960</v>
          </cell>
          <cell r="C538" t="str">
            <v>CATALANO STEFANO</v>
          </cell>
          <cell r="D538" t="str">
            <v>03337360980 CTLSFN74R19B157 Q</v>
          </cell>
          <cell r="E538" t="str">
            <v>VIA RISORGIMENTO, 32</v>
          </cell>
          <cell r="F538">
            <v>25038</v>
          </cell>
          <cell r="G538" t="str">
            <v>ROVATO</v>
          </cell>
          <cell r="H538" t="str">
            <v>BS</v>
          </cell>
          <cell r="I538" t="str">
            <v>ITALIA</v>
          </cell>
        </row>
        <row r="539">
          <cell r="B539">
            <v>7205</v>
          </cell>
          <cell r="C539" t="str">
            <v>CATALLO LUCA</v>
          </cell>
          <cell r="D539" t="str">
            <v>CTLLCU70B15E340 H</v>
          </cell>
          <cell r="E539" t="str">
            <v>VIA MOLINO, 59</v>
          </cell>
          <cell r="F539">
            <v>3039</v>
          </cell>
          <cell r="G539" t="str">
            <v>SORA</v>
          </cell>
          <cell r="H539" t="str">
            <v>FR</v>
          </cell>
          <cell r="I539" t="str">
            <v>ITALIA</v>
          </cell>
          <cell r="J539" t="str">
            <v>338-9079889</v>
          </cell>
        </row>
        <row r="540">
          <cell r="B540">
            <v>4375</v>
          </cell>
          <cell r="C540" t="str">
            <v>CATAPANO  FRANCESCO</v>
          </cell>
          <cell r="D540" t="str">
            <v>02277690810 CTPFNC66T26E463 C</v>
          </cell>
          <cell r="E540" t="str">
            <v>VIA ZAMBARELLE, 16</v>
          </cell>
          <cell r="F540">
            <v>91100</v>
          </cell>
          <cell r="G540" t="str">
            <v>XITTA</v>
          </cell>
          <cell r="H540" t="str">
            <v>TP</v>
          </cell>
          <cell r="I540" t="str">
            <v>ITALIA</v>
          </cell>
          <cell r="J540" t="str">
            <v>328-1257308</v>
          </cell>
        </row>
        <row r="541">
          <cell r="B541">
            <v>6983</v>
          </cell>
          <cell r="C541" t="str">
            <v>CATARINA MARIA</v>
          </cell>
          <cell r="D541" t="str">
            <v>CTRMNT65P42E625 T</v>
          </cell>
          <cell r="E541" t="str">
            <v>VIA MONTELUNGO, 27</v>
          </cell>
          <cell r="F541">
            <v>57128</v>
          </cell>
          <cell r="G541" t="str">
            <v>LIVORNO</v>
          </cell>
          <cell r="H541" t="str">
            <v>LI</v>
          </cell>
          <cell r="I541" t="str">
            <v>ITALIA</v>
          </cell>
          <cell r="J541" t="str">
            <v>347-794259</v>
          </cell>
        </row>
        <row r="542">
          <cell r="B542">
            <v>4191</v>
          </cell>
          <cell r="C542" t="str">
            <v>CATERING IN FIERA  S.R.L.</v>
          </cell>
          <cell r="D542" t="str">
            <v>07062870964 07062870964</v>
          </cell>
          <cell r="E542" t="str">
            <v>VIA DI VITTORIO, 7/17</v>
          </cell>
          <cell r="F542">
            <v>20017</v>
          </cell>
          <cell r="G542" t="str">
            <v>RHO</v>
          </cell>
          <cell r="H542" t="str">
            <v>MI</v>
          </cell>
          <cell r="I542" t="str">
            <v>ITALIA</v>
          </cell>
          <cell r="J542" t="str">
            <v>02-93782212</v>
          </cell>
        </row>
        <row r="543">
          <cell r="B543">
            <v>8268</v>
          </cell>
          <cell r="C543" t="str">
            <v>CAVAGNA CAFFE' S.N.C. DI CARLO CAVAGNA &amp; C.</v>
          </cell>
          <cell r="E543" t="str">
            <v>VIA BRILIO FUORI, 32</v>
          </cell>
          <cell r="F543">
            <v>24015</v>
          </cell>
          <cell r="G543" t="str">
            <v>SAN GIOVANNI BIANCO</v>
          </cell>
          <cell r="H543" t="str">
            <v>BS</v>
          </cell>
          <cell r="I543" t="str">
            <v>ITALIA</v>
          </cell>
          <cell r="J543" t="str">
            <v>0345-41658</v>
          </cell>
        </row>
        <row r="544">
          <cell r="B544">
            <v>5377</v>
          </cell>
          <cell r="C544" t="str">
            <v>CAVALETTO SANITA'  S.R.L.</v>
          </cell>
          <cell r="D544" t="str">
            <v>07910400014 07910400014</v>
          </cell>
          <cell r="E544" t="str">
            <v>VIA F.LLI BERRA, 62</v>
          </cell>
          <cell r="F544">
            <v>10080</v>
          </cell>
          <cell r="G544" t="str">
            <v>OZEGNA</v>
          </cell>
          <cell r="H544" t="str">
            <v>TO</v>
          </cell>
          <cell r="I544" t="str">
            <v>ITALIA</v>
          </cell>
          <cell r="J544" t="str">
            <v xml:space="preserve">0124-26900 </v>
          </cell>
        </row>
        <row r="545">
          <cell r="B545">
            <v>7168</v>
          </cell>
          <cell r="C545" t="str">
            <v>CAVALLARO MARIA  ANTONIA</v>
          </cell>
          <cell r="D545" t="str">
            <v>CVLMNT67A46I656 K</v>
          </cell>
          <cell r="E545" t="str">
            <v>CONTRADA TULUPA</v>
          </cell>
          <cell r="F545">
            <v>89020</v>
          </cell>
          <cell r="G545" t="str">
            <v>SERRATA</v>
          </cell>
          <cell r="H545" t="str">
            <v>RC</v>
          </cell>
          <cell r="I545" t="str">
            <v>ITALIA</v>
          </cell>
          <cell r="J545" t="str">
            <v>333-8139005</v>
          </cell>
        </row>
        <row r="546">
          <cell r="B546">
            <v>7283</v>
          </cell>
          <cell r="C546" t="str">
            <v>CAVALLI MAURO</v>
          </cell>
          <cell r="D546" t="str">
            <v>CVLMRA62A15F032 S</v>
          </cell>
          <cell r="E546" t="str">
            <v>CORSO DIAZ 16</v>
          </cell>
          <cell r="F546">
            <v>58024</v>
          </cell>
          <cell r="G546" t="str">
            <v>MASSA  MARITTIMA</v>
          </cell>
          <cell r="H546" t="str">
            <v>GR</v>
          </cell>
          <cell r="I546" t="str">
            <v>ITALIA</v>
          </cell>
          <cell r="J546" t="str">
            <v>335-6174265</v>
          </cell>
        </row>
        <row r="547">
          <cell r="B547">
            <v>6722</v>
          </cell>
          <cell r="C547" t="str">
            <v>CAYMANO SRL</v>
          </cell>
          <cell r="D547" t="str">
            <v>07217490965 07217490965</v>
          </cell>
          <cell r="E547" t="str">
            <v>VIA VENEZIA,16</v>
          </cell>
          <cell r="F547">
            <v>20871</v>
          </cell>
          <cell r="G547" t="str">
            <v>MEDA</v>
          </cell>
          <cell r="H547" t="str">
            <v>MB</v>
          </cell>
          <cell r="I547" t="str">
            <v>ITALIA</v>
          </cell>
          <cell r="J547" t="str">
            <v xml:space="preserve">ffee </v>
          </cell>
        </row>
        <row r="548">
          <cell r="B548">
            <v>7027</v>
          </cell>
          <cell r="C548" t="str">
            <v>CAZZANIGA ANDREA</v>
          </cell>
          <cell r="D548" t="str">
            <v>CZZNDR71H26I625 Y</v>
          </cell>
          <cell r="E548" t="str">
            <v>VIA ASIAGO, 19</v>
          </cell>
          <cell r="F548">
            <v>20821</v>
          </cell>
          <cell r="G548" t="str">
            <v>MEDA</v>
          </cell>
          <cell r="H548" t="str">
            <v>MB</v>
          </cell>
          <cell r="I548" t="str">
            <v>ITALIA</v>
          </cell>
          <cell r="J548" t="str">
            <v>349-4777363</v>
          </cell>
        </row>
        <row r="549">
          <cell r="B549">
            <v>7163</v>
          </cell>
          <cell r="C549" t="str">
            <v>CAZZOLA GIULIANA  MARIA</v>
          </cell>
          <cell r="D549" t="str">
            <v>CZZGNM65H41A052 N</v>
          </cell>
          <cell r="E549" t="str">
            <v>REG. BOIDI, 20A</v>
          </cell>
          <cell r="F549">
            <v>14042</v>
          </cell>
          <cell r="G549" t="str">
            <v>CALAMANDRANA</v>
          </cell>
          <cell r="H549" t="str">
            <v>AT</v>
          </cell>
          <cell r="I549" t="str">
            <v>ITALIA</v>
          </cell>
          <cell r="J549" t="str">
            <v>347-3998796</v>
          </cell>
        </row>
        <row r="550">
          <cell r="B550">
            <v>4560</v>
          </cell>
          <cell r="C550" t="str">
            <v>CCBB S.A.S.</v>
          </cell>
          <cell r="D550" t="str">
            <v>11103120017 11103120017</v>
          </cell>
          <cell r="E550" t="str">
            <v>VIA NAZIONALE, 45</v>
          </cell>
          <cell r="F550">
            <v>10064</v>
          </cell>
          <cell r="G550" t="str">
            <v>PINEROLO</v>
          </cell>
          <cell r="H550" t="str">
            <v>TO</v>
          </cell>
          <cell r="I550" t="str">
            <v>ITALIA</v>
          </cell>
          <cell r="J550" t="str">
            <v xml:space="preserve">0121-036779 </v>
          </cell>
        </row>
        <row r="551">
          <cell r="B551">
            <v>4832</v>
          </cell>
          <cell r="C551" t="str">
            <v>CD S.R.L.</v>
          </cell>
          <cell r="D551" t="str">
            <v>03536570124 03536570124</v>
          </cell>
          <cell r="E551" t="str">
            <v>VIA BORGHI, 8</v>
          </cell>
          <cell r="F551">
            <v>21013</v>
          </cell>
          <cell r="G551" t="str">
            <v>GALLARATE</v>
          </cell>
          <cell r="H551" t="str">
            <v>VA</v>
          </cell>
          <cell r="I551" t="str">
            <v>ITALIA</v>
          </cell>
          <cell r="J551" t="str">
            <v>334-2901546</v>
          </cell>
        </row>
        <row r="552">
          <cell r="B552">
            <v>10125</v>
          </cell>
          <cell r="C552" t="str">
            <v>CDA DISTRIBUTORI S.R.L.</v>
          </cell>
          <cell r="E552" t="str">
            <v>VIA LAGO MAGGIORE, 110</v>
          </cell>
          <cell r="F552">
            <v>36077</v>
          </cell>
          <cell r="G552" t="str">
            <v>ALTAVILLA VICENTINA</v>
          </cell>
          <cell r="H552" t="str">
            <v>VI</v>
          </cell>
          <cell r="I552" t="str">
            <v>ITALIA</v>
          </cell>
          <cell r="J552" t="str">
            <v>0444-371317</v>
          </cell>
        </row>
        <row r="553">
          <cell r="B553">
            <v>4644</v>
          </cell>
          <cell r="C553" t="str">
            <v>CE.RI.EL.  S.N.C.</v>
          </cell>
          <cell r="D553" t="str">
            <v>02316240999 02316240999</v>
          </cell>
          <cell r="E553" t="str">
            <v>VIA ALDO MANUNZIO</v>
          </cell>
          <cell r="F553">
            <v>16143</v>
          </cell>
          <cell r="G553" t="str">
            <v>GENOVA</v>
          </cell>
          <cell r="H553" t="str">
            <v>GE</v>
          </cell>
          <cell r="I553" t="str">
            <v>ITALIA</v>
          </cell>
          <cell r="J553" t="str">
            <v>335-5279223</v>
          </cell>
        </row>
        <row r="554">
          <cell r="B554">
            <v>7698</v>
          </cell>
          <cell r="C554" t="str">
            <v>CECCARELLI C/O MINI MARKET</v>
          </cell>
          <cell r="E554" t="str">
            <v>VIA TIBURTINA VALERIA, 114</v>
          </cell>
          <cell r="F554">
            <v>29</v>
          </cell>
          <cell r="G554" t="str">
            <v>VICOVARO</v>
          </cell>
          <cell r="H554" t="str">
            <v>RM</v>
          </cell>
          <cell r="I554" t="str">
            <v>ITALIA</v>
          </cell>
        </row>
        <row r="555">
          <cell r="B555">
            <v>7215</v>
          </cell>
          <cell r="C555" t="str">
            <v>CECCARELLO  MARCO</v>
          </cell>
          <cell r="D555" t="str">
            <v>CCCMRC66A15F205 P</v>
          </cell>
          <cell r="E555" t="str">
            <v>VIA GRIVOLA 18</v>
          </cell>
          <cell r="F555">
            <v>20162</v>
          </cell>
          <cell r="G555" t="str">
            <v>MILANO</v>
          </cell>
          <cell r="H555" t="str">
            <v>MI</v>
          </cell>
          <cell r="I555" t="str">
            <v>ITALIA</v>
          </cell>
          <cell r="J555" t="str">
            <v>348-2211426</v>
          </cell>
        </row>
        <row r="556">
          <cell r="B556">
            <v>4137</v>
          </cell>
          <cell r="C556" t="str">
            <v>CEM S.A.S. DI  CHIORBOLI LUCA, EMANUELA &amp; C.</v>
          </cell>
          <cell r="D556" t="str">
            <v>00788810968 04730630151</v>
          </cell>
          <cell r="E556" t="str">
            <v>VIA BRIANZA, 11</v>
          </cell>
          <cell r="F556">
            <v>20835</v>
          </cell>
          <cell r="G556" t="str">
            <v>MUGGIO'</v>
          </cell>
          <cell r="H556" t="str">
            <v>MB</v>
          </cell>
          <cell r="I556" t="str">
            <v>ITALIA</v>
          </cell>
          <cell r="J556" t="str">
            <v>039-2789477</v>
          </cell>
        </row>
        <row r="557">
          <cell r="B557">
            <v>3875</v>
          </cell>
          <cell r="C557" t="str">
            <v>CENEDESE  BRUNELLA</v>
          </cell>
          <cell r="D557" t="str">
            <v>CNDBNL44P61D938 V</v>
          </cell>
          <cell r="E557" t="str">
            <v>VIA TORINO, 14</v>
          </cell>
          <cell r="F557">
            <v>13862</v>
          </cell>
          <cell r="G557" t="str">
            <v>BRUSNENGO</v>
          </cell>
          <cell r="H557" t="str">
            <v>BI</v>
          </cell>
          <cell r="I557" t="str">
            <v>ITALIA</v>
          </cell>
          <cell r="J557" t="str">
            <v>015-985944</v>
          </cell>
        </row>
        <row r="558">
          <cell r="B558">
            <v>3609</v>
          </cell>
          <cell r="C558" t="str">
            <v>CENTRALE DEL  LATTE D' ITALIA S.P. A.</v>
          </cell>
          <cell r="D558" t="str">
            <v>01934250018 01934250018</v>
          </cell>
          <cell r="E558" t="str">
            <v>VIA FILADELFIA, 220</v>
          </cell>
          <cell r="F558">
            <v>10137</v>
          </cell>
          <cell r="G558" t="str">
            <v>TORINO</v>
          </cell>
          <cell r="H558" t="str">
            <v>TO</v>
          </cell>
          <cell r="I558" t="str">
            <v>ITALIA</v>
          </cell>
          <cell r="J558" t="str">
            <v>011-3240223</v>
          </cell>
        </row>
        <row r="559">
          <cell r="B559">
            <v>2752</v>
          </cell>
          <cell r="C559" t="str">
            <v>CENTRO  SERVIZI M.C. DI  MAURIZIO  ZAPPAROLI</v>
          </cell>
          <cell r="D559" t="str">
            <v>03687710156 ZPPMRZ54B16F994 H</v>
          </cell>
          <cell r="E559" t="str">
            <v>CORSO SEMPIONE, 81</v>
          </cell>
          <cell r="F559">
            <v>20028</v>
          </cell>
          <cell r="G559" t="str">
            <v>SAN VITTORE  OLONA</v>
          </cell>
          <cell r="H559" t="str">
            <v>MI</v>
          </cell>
          <cell r="I559" t="str">
            <v>ITALIA</v>
          </cell>
          <cell r="J559" t="str">
            <v>338-7662074</v>
          </cell>
        </row>
        <row r="560">
          <cell r="B560">
            <v>5818</v>
          </cell>
          <cell r="C560" t="str">
            <v>CENTRO CAVALLINO  3 S.A.S. DI  CAMERLENGO  ANTONIO</v>
          </cell>
          <cell r="D560" t="str">
            <v>04580820019 04580820019</v>
          </cell>
          <cell r="E560" t="str">
            <v>CORSO RE UMBERTO, 119</v>
          </cell>
          <cell r="F560">
            <v>10126</v>
          </cell>
          <cell r="G560" t="str">
            <v>TORINO</v>
          </cell>
          <cell r="H560" t="str">
            <v>TO</v>
          </cell>
          <cell r="I560" t="str">
            <v>ITALIA</v>
          </cell>
        </row>
        <row r="561">
          <cell r="B561">
            <v>6788</v>
          </cell>
          <cell r="C561" t="str">
            <v>CENTRO D'  INCONTRO</v>
          </cell>
          <cell r="D561" t="str">
            <v>91021640015</v>
          </cell>
          <cell r="E561" t="str">
            <v>VIA AVV. G. FROLA, 1</v>
          </cell>
          <cell r="F561">
            <v>10017</v>
          </cell>
          <cell r="G561" t="str">
            <v>MONTANARO</v>
          </cell>
          <cell r="H561" t="str">
            <v>TO</v>
          </cell>
          <cell r="I561" t="str">
            <v>ITALIA</v>
          </cell>
          <cell r="J561" t="str">
            <v>349-0776275</v>
          </cell>
        </row>
        <row r="562">
          <cell r="B562">
            <v>6491</v>
          </cell>
          <cell r="C562" t="str">
            <v>CENTRO FORNITURE  ALBERGHIERE S.R.L.</v>
          </cell>
          <cell r="D562" t="str">
            <v>00965580095 00965580095</v>
          </cell>
          <cell r="E562" t="str">
            <v>VIA TRIESTE, 2</v>
          </cell>
          <cell r="F562">
            <v>17047</v>
          </cell>
          <cell r="G562" t="str">
            <v>VADO LIGURE</v>
          </cell>
          <cell r="H562" t="str">
            <v>SV</v>
          </cell>
          <cell r="I562" t="str">
            <v>ITALIA</v>
          </cell>
          <cell r="J562" t="str">
            <v xml:space="preserve">019-2160053 </v>
          </cell>
        </row>
        <row r="563">
          <cell r="B563">
            <v>5724</v>
          </cell>
          <cell r="C563" t="str">
            <v>CENTRO INCONTRO  GIOVANI ANZIANI</v>
          </cell>
          <cell r="D563" t="str">
            <v>90017100018</v>
          </cell>
          <cell r="E563" t="str">
            <v>PIAZZA DELLA  PARROCCHIA, 1</v>
          </cell>
          <cell r="F563">
            <v>10020</v>
          </cell>
          <cell r="G563" t="str">
            <v>PECETTO  TORINESE</v>
          </cell>
          <cell r="H563" t="str">
            <v>TO</v>
          </cell>
          <cell r="I563" t="str">
            <v>ITALIA</v>
          </cell>
          <cell r="J563" t="str">
            <v>011-8608200</v>
          </cell>
        </row>
        <row r="564">
          <cell r="B564">
            <v>3218</v>
          </cell>
          <cell r="C564" t="str">
            <v>CENTRO MILANO 2 S. R.L.</v>
          </cell>
          <cell r="D564" t="str">
            <v>05929070968 05929070968</v>
          </cell>
          <cell r="E564" t="str">
            <v>VIA CORELLI, 136  CENTRO SPORTIVO SAINI</v>
          </cell>
          <cell r="F564">
            <v>20134</v>
          </cell>
          <cell r="G564" t="str">
            <v>MILANO</v>
          </cell>
          <cell r="H564" t="str">
            <v>MI</v>
          </cell>
          <cell r="I564" t="str">
            <v>ITALIA</v>
          </cell>
          <cell r="J564" t="str">
            <v xml:space="preserve">392-5624001 </v>
          </cell>
        </row>
        <row r="565">
          <cell r="B565">
            <v>4310</v>
          </cell>
          <cell r="C565" t="str">
            <v>CENTRO SERVIZI DI  GUZZARDI  CORRADO</v>
          </cell>
          <cell r="D565" t="str">
            <v>01417750500 GZZCRD50A08I754 S</v>
          </cell>
          <cell r="E565" t="str">
            <v>VIA FRIULI, 63</v>
          </cell>
          <cell r="F565">
            <v>56021</v>
          </cell>
          <cell r="G565" t="str">
            <v>CASCINA</v>
          </cell>
          <cell r="H565" t="str">
            <v>PI</v>
          </cell>
          <cell r="I565" t="str">
            <v>ITALIA</v>
          </cell>
          <cell r="J565" t="str">
            <v>050-701309</v>
          </cell>
        </row>
        <row r="566">
          <cell r="B566">
            <v>4919</v>
          </cell>
          <cell r="C566" t="str">
            <v>CENTRO SOCIO  RICREATIVO  ANZIANI CARLO  FARINA</v>
          </cell>
          <cell r="D566" t="str">
            <v>91007070153</v>
          </cell>
          <cell r="E566" t="str">
            <v>VIA PASINO, 26</v>
          </cell>
          <cell r="F566">
            <v>20836</v>
          </cell>
          <cell r="G566" t="str">
            <v>BRIOSCO</v>
          </cell>
          <cell r="H566" t="str">
            <v>MB</v>
          </cell>
          <cell r="I566" t="str">
            <v>ITALIA</v>
          </cell>
          <cell r="J566" t="str">
            <v>0362-95077</v>
          </cell>
        </row>
        <row r="567">
          <cell r="B567">
            <v>4833</v>
          </cell>
          <cell r="C567" t="str">
            <v>CESCA CINZIA</v>
          </cell>
          <cell r="D567" t="str">
            <v>07448220967 CSCCNZ68M63F205 W</v>
          </cell>
          <cell r="E567" t="str">
            <v>VIA A.DE GASPERI, 9</v>
          </cell>
          <cell r="F567">
            <v>20089</v>
          </cell>
          <cell r="G567" t="str">
            <v>ROZZANO</v>
          </cell>
          <cell r="H567" t="str">
            <v>MI</v>
          </cell>
          <cell r="I567" t="str">
            <v>ITALIA</v>
          </cell>
          <cell r="J567" t="str">
            <v>349-1704496</v>
          </cell>
        </row>
        <row r="568">
          <cell r="B568">
            <v>4594</v>
          </cell>
          <cell r="C568" t="str">
            <v>CESCO VENDING S. A.S.</v>
          </cell>
          <cell r="D568" t="str">
            <v>12120500157 12120500157</v>
          </cell>
          <cell r="E568" t="str">
            <v>VIA MERAVIGLIA, 31</v>
          </cell>
          <cell r="F568">
            <v>20020</v>
          </cell>
          <cell r="G568" t="str">
            <v>LAINATE</v>
          </cell>
          <cell r="H568" t="str">
            <v>MI</v>
          </cell>
          <cell r="I568" t="str">
            <v>ITALIA</v>
          </cell>
          <cell r="J568" t="str">
            <v xml:space="preserve">02-93257205 </v>
          </cell>
        </row>
        <row r="569">
          <cell r="B569">
            <v>6893</v>
          </cell>
          <cell r="C569" t="str">
            <v>CEYLAN MICHELE</v>
          </cell>
          <cell r="D569" t="str">
            <v>00000000000</v>
          </cell>
          <cell r="E569" t="str">
            <v>VIA SORENGO, 22</v>
          </cell>
          <cell r="F569">
            <v>6900</v>
          </cell>
          <cell r="G569" t="str">
            <v>LUGANO</v>
          </cell>
          <cell r="I569" t="str">
            <v>SVIZZERA</v>
          </cell>
          <cell r="J569" t="str">
            <v>0041-794730710</v>
          </cell>
        </row>
        <row r="570">
          <cell r="B570">
            <v>3387</v>
          </cell>
          <cell r="C570" t="str">
            <v>CHE CAFFE' S.A.S.  DI GIAMBATTISTA  RABALLO &amp; C</v>
          </cell>
          <cell r="D570" t="str">
            <v>09979900017 09979900017</v>
          </cell>
          <cell r="E570" t="str">
            <v>VIA DRUENTO, 230</v>
          </cell>
          <cell r="F570">
            <v>10078</v>
          </cell>
          <cell r="G570" t="str">
            <v>VENARIA REALE</v>
          </cell>
          <cell r="H570" t="str">
            <v>TO</v>
          </cell>
          <cell r="I570" t="str">
            <v>ITALIA</v>
          </cell>
          <cell r="J570" t="str">
            <v>011- 2760119</v>
          </cell>
        </row>
        <row r="571">
          <cell r="B571">
            <v>7400</v>
          </cell>
          <cell r="C571" t="str">
            <v>CHIAPPORI  GIANCARLO</v>
          </cell>
          <cell r="D571" t="str">
            <v>CHPGCR46C19D96 9G</v>
          </cell>
          <cell r="E571" t="str">
            <v>VIA NAPOLI 9 - INT. 6</v>
          </cell>
          <cell r="F571">
            <v>16134</v>
          </cell>
          <cell r="G571" t="str">
            <v>GENOVA</v>
          </cell>
          <cell r="H571" t="str">
            <v>GE</v>
          </cell>
          <cell r="I571" t="str">
            <v>ITALIA</v>
          </cell>
          <cell r="J571" t="str">
            <v>335-6133676</v>
          </cell>
        </row>
        <row r="572">
          <cell r="B572">
            <v>3392</v>
          </cell>
          <cell r="C572" t="str">
            <v>CHIARAMENTE  ESPRESSO 42195 DI  RAGGIO ANDREA</v>
          </cell>
          <cell r="D572" t="str">
            <v>01845850997 RGGNDR68A03I225 V</v>
          </cell>
          <cell r="E572" t="str">
            <v>VIA VITTORIO VENETO,  105</v>
          </cell>
          <cell r="F572">
            <v>16042</v>
          </cell>
          <cell r="G572" t="str">
            <v>CARASCO</v>
          </cell>
          <cell r="H572" t="str">
            <v>GE</v>
          </cell>
          <cell r="I572" t="str">
            <v>ITALIA</v>
          </cell>
          <cell r="J572" t="str">
            <v>0185-381889</v>
          </cell>
        </row>
        <row r="573">
          <cell r="B573">
            <v>7433</v>
          </cell>
          <cell r="C573" t="str">
            <v>CHIARANDINI PAOLO</v>
          </cell>
          <cell r="D573" t="str">
            <v>CHRPLA56C23L483 D</v>
          </cell>
          <cell r="E573" t="str">
            <v>VIA TAMPOGNACCO, 8</v>
          </cell>
          <cell r="F573">
            <v>33030</v>
          </cell>
          <cell r="G573" t="str">
            <v>MORUZZO</v>
          </cell>
          <cell r="H573" t="str">
            <v>UD</v>
          </cell>
          <cell r="I573" t="str">
            <v>ITALIA</v>
          </cell>
          <cell r="J573" t="str">
            <v>338-6711772</v>
          </cell>
        </row>
        <row r="574">
          <cell r="B574">
            <v>7059</v>
          </cell>
          <cell r="C574" t="str">
            <v>CHIARELLI  GIOVANNI BATTISTA</v>
          </cell>
          <cell r="D574" t="str">
            <v>CHRGNB77E22E878 G</v>
          </cell>
          <cell r="E574" t="str">
            <v>VIA MONTEGRAPPA, 19</v>
          </cell>
          <cell r="F574">
            <v>87060</v>
          </cell>
          <cell r="G574" t="str">
            <v>MANDATORICCI O</v>
          </cell>
          <cell r="H574" t="str">
            <v>CS</v>
          </cell>
          <cell r="I574" t="str">
            <v>ITALIA</v>
          </cell>
          <cell r="J574" t="str">
            <v>333-6263830</v>
          </cell>
        </row>
        <row r="575">
          <cell r="B575">
            <v>7068</v>
          </cell>
          <cell r="C575" t="str">
            <v>CHIARELLO  GIOVANNA</v>
          </cell>
          <cell r="D575" t="str">
            <v>CHRGNN72B45F158 U</v>
          </cell>
          <cell r="E575" t="str">
            <v>VIA PIANO BOTTAI, 22</v>
          </cell>
          <cell r="F575">
            <v>98158</v>
          </cell>
          <cell r="G575" t="str">
            <v>Messina</v>
          </cell>
          <cell r="H575" t="str">
            <v>ME</v>
          </cell>
          <cell r="I575" t="str">
            <v>ITALIA</v>
          </cell>
          <cell r="J575" t="str">
            <v>328-8364604</v>
          </cell>
        </row>
        <row r="576">
          <cell r="B576">
            <v>4854</v>
          </cell>
          <cell r="C576" t="str">
            <v>CHIARETTA EZIO</v>
          </cell>
          <cell r="D576" t="str">
            <v>CHRZEI58S07H355 O</v>
          </cell>
          <cell r="E576" t="str">
            <v>VIA CERVINO, 26</v>
          </cell>
          <cell r="F576">
            <v>10091</v>
          </cell>
          <cell r="G576" t="str">
            <v>ALPIGNANO</v>
          </cell>
          <cell r="H576" t="str">
            <v>TO</v>
          </cell>
          <cell r="I576" t="str">
            <v>ITALIA</v>
          </cell>
          <cell r="J576" t="str">
            <v>340-6804591</v>
          </cell>
        </row>
        <row r="577">
          <cell r="B577">
            <v>7007</v>
          </cell>
          <cell r="C577" t="str">
            <v>CHIAVETTA  GIUSEPPE</v>
          </cell>
          <cell r="D577" t="str">
            <v>CHVGPP91A23C351 O</v>
          </cell>
          <cell r="E577" t="str">
            <v>VIA ALDO MORO, 23P</v>
          </cell>
          <cell r="F577">
            <v>6063</v>
          </cell>
          <cell r="G577" t="str">
            <v>SAN FELICIANO - MAGIONE</v>
          </cell>
          <cell r="H577" t="str">
            <v>PG</v>
          </cell>
          <cell r="I577" t="str">
            <v>ITALIA</v>
          </cell>
          <cell r="J577" t="str">
            <v>392-6731965</v>
          </cell>
        </row>
        <row r="578">
          <cell r="B578">
            <v>6661</v>
          </cell>
          <cell r="C578" t="str">
            <v>CHICCHI &amp;  CHICCHE DI  CASTRONOVO  GIOVANNI</v>
          </cell>
          <cell r="D578" t="str">
            <v>09881460969</v>
          </cell>
          <cell r="E578" t="str">
            <v>VIA NINO BIXIO, 47</v>
          </cell>
          <cell r="F578">
            <v>20129</v>
          </cell>
          <cell r="G578" t="str">
            <v>MILANO</v>
          </cell>
          <cell r="H578" t="str">
            <v>MI</v>
          </cell>
          <cell r="I578" t="str">
            <v>ITALIA</v>
          </cell>
          <cell r="J578" t="str">
            <v>02-29412434</v>
          </cell>
        </row>
        <row r="579">
          <cell r="B579">
            <v>4662</v>
          </cell>
          <cell r="C579" t="str">
            <v>CHICCO CAFFE' S.R. L.</v>
          </cell>
          <cell r="D579" t="str">
            <v>02450020025 02450020025</v>
          </cell>
          <cell r="E579" t="str">
            <v>LOCALITA' MOLINO  RASTELLI, 36</v>
          </cell>
          <cell r="F579">
            <v>13018</v>
          </cell>
          <cell r="G579" t="str">
            <v>VALDUGGIA</v>
          </cell>
          <cell r="H579" t="str">
            <v>VC</v>
          </cell>
          <cell r="I579" t="str">
            <v>ITALIA</v>
          </cell>
          <cell r="J579" t="str">
            <v>0163-48151</v>
          </cell>
        </row>
        <row r="580">
          <cell r="B580">
            <v>4516</v>
          </cell>
          <cell r="C580" t="str">
            <v>CHICCO COTTO  SOCIETA'  COOPERATIVA  ONLUS</v>
          </cell>
          <cell r="D580" t="str">
            <v>11005530016 11005530016</v>
          </cell>
          <cell r="E580" t="str">
            <v>VIA COTTOLENGO, 14</v>
          </cell>
          <cell r="F580">
            <v>10100</v>
          </cell>
          <cell r="G580" t="str">
            <v>TORINO</v>
          </cell>
          <cell r="H580" t="str">
            <v>TO</v>
          </cell>
          <cell r="I580" t="str">
            <v>ITALIA</v>
          </cell>
          <cell r="J580" t="str">
            <v>347-2298273</v>
          </cell>
        </row>
        <row r="581">
          <cell r="B581">
            <v>6573</v>
          </cell>
          <cell r="C581" t="str">
            <v>CHICCO DI CAFFE'  DI FRANCESCO  CANU</v>
          </cell>
          <cell r="D581" t="str">
            <v>02323530994 CNAFNC91L02D969 Y</v>
          </cell>
          <cell r="E581" t="str">
            <v>VIA BORZOLI, 46R</v>
          </cell>
          <cell r="F581">
            <v>16153</v>
          </cell>
          <cell r="G581" t="str">
            <v>GENOVA</v>
          </cell>
          <cell r="H581" t="str">
            <v>GE</v>
          </cell>
          <cell r="I581" t="str">
            <v>ITALIA</v>
          </cell>
          <cell r="J581" t="str">
            <v>010-857060</v>
          </cell>
        </row>
        <row r="582">
          <cell r="B582">
            <v>6758</v>
          </cell>
          <cell r="C582" t="str">
            <v>CHICCOLINO DI  CAFFE' DI SCAJOLA  LUCA</v>
          </cell>
          <cell r="D582" t="str">
            <v>09623050961 SCJLCU84A16F205E</v>
          </cell>
          <cell r="E582" t="str">
            <v>VIA CAVOUR, 12</v>
          </cell>
          <cell r="F582">
            <v>20871</v>
          </cell>
          <cell r="G582" t="str">
            <v>VIMERCATE</v>
          </cell>
          <cell r="H582" t="str">
            <v>MB</v>
          </cell>
          <cell r="I582" t="str">
            <v>ITALIA</v>
          </cell>
          <cell r="J582" t="str">
            <v>366-2436813</v>
          </cell>
        </row>
        <row r="583">
          <cell r="B583">
            <v>7356</v>
          </cell>
          <cell r="C583" t="str">
            <v>CHIEFFO ANTONIO</v>
          </cell>
          <cell r="D583" t="str">
            <v>CHFNTN77P06A566L</v>
          </cell>
          <cell r="E583" t="str">
            <v>VIA LA MARMORA 217</v>
          </cell>
          <cell r="F583">
            <v>10095</v>
          </cell>
          <cell r="G583" t="str">
            <v>GRUGLIASCO</v>
          </cell>
          <cell r="H583" t="str">
            <v>TO</v>
          </cell>
          <cell r="I583" t="str">
            <v>ITALIA</v>
          </cell>
          <cell r="J583" t="str">
            <v>349-1303793</v>
          </cell>
        </row>
        <row r="584">
          <cell r="B584">
            <v>1635</v>
          </cell>
          <cell r="C584" t="str">
            <v>CHIMITEX SPA</v>
          </cell>
          <cell r="E584" t="str">
            <v>VIALE DUCA D'AOSTA, 3</v>
          </cell>
          <cell r="F584">
            <v>21052</v>
          </cell>
          <cell r="G584" t="str">
            <v>BUSTO ARSIZIO</v>
          </cell>
          <cell r="H584" t="str">
            <v>VA</v>
          </cell>
          <cell r="I584" t="str">
            <v>ITALIA</v>
          </cell>
          <cell r="J584" t="str">
            <v>0331-613935</v>
          </cell>
        </row>
        <row r="585">
          <cell r="B585">
            <v>7092</v>
          </cell>
          <cell r="C585" t="str">
            <v>CHO &amp; CHO EOOD</v>
          </cell>
          <cell r="D585" t="str">
            <v>205332446</v>
          </cell>
          <cell r="E585" t="str">
            <v>VIA HR. SILIANOV, 36</v>
          </cell>
          <cell r="F585">
            <v>2900</v>
          </cell>
          <cell r="G585" t="str">
            <v>GOZE-DELCHEV-  BULGARIA</v>
          </cell>
          <cell r="I585" t="str">
            <v>BULGARIA</v>
          </cell>
          <cell r="J585" t="str">
            <v>328-0176170</v>
          </cell>
        </row>
        <row r="586">
          <cell r="B586">
            <v>6872</v>
          </cell>
          <cell r="C586" t="str">
            <v>CHOCABECK DI  STEFANO OLIVARES</v>
          </cell>
          <cell r="D586" t="str">
            <v>10886710960 LVRSFN88H27A010 N</v>
          </cell>
          <cell r="E586" t="str">
            <v>VIA DON G.RAVAZZI, 3</v>
          </cell>
          <cell r="F586">
            <v>20081</v>
          </cell>
          <cell r="G586" t="str">
            <v>CASSINETTA DI  LUGAGNANO</v>
          </cell>
          <cell r="H586" t="str">
            <v>MI</v>
          </cell>
          <cell r="I586" t="str">
            <v>ITALIA</v>
          </cell>
          <cell r="J586" t="str">
            <v>347-8281567</v>
          </cell>
        </row>
        <row r="587">
          <cell r="B587">
            <v>1644</v>
          </cell>
          <cell r="C587" t="str">
            <v>CI.ERRE.A. S.A.S.  DI MANUELE &amp; C.</v>
          </cell>
          <cell r="D587" t="str">
            <v>01874590027 01874590027</v>
          </cell>
          <cell r="E587" t="str">
            <v>VIA GERBIDI, 6</v>
          </cell>
          <cell r="F587">
            <v>13038</v>
          </cell>
          <cell r="G587" t="str">
            <v>TRICERRO</v>
          </cell>
          <cell r="H587" t="str">
            <v>VC</v>
          </cell>
          <cell r="I587" t="str">
            <v>ITALIA</v>
          </cell>
          <cell r="J587" t="str">
            <v>0161-807816</v>
          </cell>
        </row>
        <row r="588">
          <cell r="B588">
            <v>4433</v>
          </cell>
          <cell r="C588" t="str">
            <v>CI.MA DI CIURLI  PIERLUIGI S.R.L.</v>
          </cell>
          <cell r="D588" t="str">
            <v>00893580498 00893580498</v>
          </cell>
          <cell r="E588" t="str">
            <v>VIA CALZOLAI, 17</v>
          </cell>
          <cell r="F588">
            <v>57100</v>
          </cell>
          <cell r="G588" t="str">
            <v>VENTURINA</v>
          </cell>
          <cell r="H588" t="str">
            <v>LI</v>
          </cell>
          <cell r="I588" t="str">
            <v>ITALIA</v>
          </cell>
          <cell r="J588" t="str">
            <v>0565-851323</v>
          </cell>
        </row>
        <row r="589">
          <cell r="B589">
            <v>4786</v>
          </cell>
          <cell r="C589" t="str">
            <v>CIALDA &amp; CAPSULA  S.N.C. DI LUISA  GENESIO &amp; C.</v>
          </cell>
          <cell r="D589" t="str">
            <v>03641350040 03641350040</v>
          </cell>
          <cell r="E589" t="str">
            <v>VIA POLLENZO, 25</v>
          </cell>
          <cell r="F589">
            <v>12042</v>
          </cell>
          <cell r="G589" t="str">
            <v>BRA</v>
          </cell>
          <cell r="H589" t="str">
            <v>CN</v>
          </cell>
          <cell r="I589" t="str">
            <v>ITALIA</v>
          </cell>
        </row>
        <row r="590">
          <cell r="B590">
            <v>6656</v>
          </cell>
          <cell r="C590" t="str">
            <v>CIALDA E BEVI DI  LANNI STEFANIA</v>
          </cell>
          <cell r="D590" t="str">
            <v>09494480966 LNNSFN73H46E801E</v>
          </cell>
          <cell r="E590" t="str">
            <v>VIA SAN ROCCO, 260</v>
          </cell>
          <cell r="F590">
            <v>21050</v>
          </cell>
          <cell r="G590" t="str">
            <v>CASTELSEPRIO</v>
          </cell>
          <cell r="H590" t="str">
            <v>VA</v>
          </cell>
          <cell r="I590" t="str">
            <v>ITALIA</v>
          </cell>
          <cell r="J590" t="str">
            <v xml:space="preserve">0331-811589 </v>
          </cell>
        </row>
        <row r="591">
          <cell r="B591">
            <v>6828</v>
          </cell>
          <cell r="C591" t="str">
            <v>CIALDA SHOP DI  GRASSI ALBERTO</v>
          </cell>
          <cell r="D591" t="str">
            <v>02602810067 GRSLRT89M25L304 O</v>
          </cell>
          <cell r="E591" t="str">
            <v>PIAZZA DUOMO, 3</v>
          </cell>
          <cell r="F591">
            <v>15057</v>
          </cell>
          <cell r="G591" t="str">
            <v>TORTONA</v>
          </cell>
          <cell r="H591" t="str">
            <v>AL</v>
          </cell>
          <cell r="I591" t="str">
            <v>ITALIA</v>
          </cell>
          <cell r="J591" t="str">
            <v>347-5867336</v>
          </cell>
        </row>
        <row r="592">
          <cell r="B592">
            <v>6912</v>
          </cell>
          <cell r="C592" t="str">
            <v>CIALDE &amp; CAPSULE  DI SAMBIN  ROSSELLA</v>
          </cell>
          <cell r="D592" t="str">
            <v>12141090014 SMBRSL65A60L219 A</v>
          </cell>
          <cell r="E592" t="str">
            <v>VIA CAVOUR, 9/A</v>
          </cell>
          <cell r="F592">
            <v>10098</v>
          </cell>
          <cell r="G592" t="str">
            <v>RIVOLI</v>
          </cell>
          <cell r="H592" t="str">
            <v>TO</v>
          </cell>
          <cell r="I592" t="str">
            <v>ITALIA</v>
          </cell>
          <cell r="J592" t="str">
            <v xml:space="preserve">011-19215161 </v>
          </cell>
        </row>
        <row r="593">
          <cell r="B593">
            <v>6867</v>
          </cell>
          <cell r="C593" t="str">
            <v>CIALDE &amp; CAPSULE OUTLET S.N.C.</v>
          </cell>
          <cell r="D593" t="str">
            <v>02605010038</v>
          </cell>
          <cell r="E593" t="str">
            <v>VIA ROSMINI, 19</v>
          </cell>
          <cell r="F593">
            <v>28100</v>
          </cell>
          <cell r="G593" t="str">
            <v>NOVARA</v>
          </cell>
          <cell r="H593" t="str">
            <v>NO</v>
          </cell>
          <cell r="I593" t="str">
            <v>ITALIA</v>
          </cell>
          <cell r="J593" t="str">
            <v>346-0295739</v>
          </cell>
        </row>
        <row r="594">
          <cell r="B594">
            <v>7085</v>
          </cell>
          <cell r="C594" t="str">
            <v>CIALDE CAPSULE E NON SOLO</v>
          </cell>
          <cell r="D594" t="str">
            <v>02481610992 SCCSRG76P06D969 N</v>
          </cell>
          <cell r="E594" t="str">
            <v>VIA CARLO ROLANDO, 77R</v>
          </cell>
          <cell r="F594">
            <v>16151</v>
          </cell>
          <cell r="G594" t="str">
            <v>GENOVA</v>
          </cell>
          <cell r="H594" t="str">
            <v>GE</v>
          </cell>
          <cell r="I594" t="str">
            <v>ITALIA</v>
          </cell>
          <cell r="J594" t="str">
            <v>331-8533753</v>
          </cell>
        </row>
        <row r="595">
          <cell r="B595">
            <v>7015</v>
          </cell>
          <cell r="C595" t="str">
            <v>CIALDE E CAFFE'  TORINO CENTRO</v>
          </cell>
          <cell r="D595" t="str">
            <v>12022250018 CCNMRC83R17L219 F</v>
          </cell>
          <cell r="E595" t="str">
            <v>VIA ALFIERI, 17</v>
          </cell>
          <cell r="F595">
            <v>10121</v>
          </cell>
          <cell r="G595" t="str">
            <v>TORINO</v>
          </cell>
          <cell r="H595" t="str">
            <v>TO</v>
          </cell>
          <cell r="I595" t="str">
            <v>ITALIA</v>
          </cell>
          <cell r="J595" t="str">
            <v>392-1522752</v>
          </cell>
        </row>
        <row r="596">
          <cell r="B596">
            <v>5958</v>
          </cell>
          <cell r="C596" t="str">
            <v>CIALDE EMOZIONI</v>
          </cell>
          <cell r="E596" t="str">
            <v>VIA MAZZINI, 42</v>
          </cell>
          <cell r="F596">
            <v>27025</v>
          </cell>
          <cell r="G596" t="str">
            <v>GAMBOLO'</v>
          </cell>
          <cell r="H596" t="str">
            <v>PV</v>
          </cell>
          <cell r="I596" t="str">
            <v>ITALIA</v>
          </cell>
          <cell r="J596" t="str">
            <v>346-02309688</v>
          </cell>
        </row>
        <row r="597">
          <cell r="B597">
            <v>7041</v>
          </cell>
          <cell r="C597" t="str">
            <v>CIALDE TORINO DI  MERRYWEATHER  MARCO</v>
          </cell>
          <cell r="D597" t="str">
            <v>12247010015 MRRMRC85R11L219 G</v>
          </cell>
          <cell r="E597" t="str">
            <v>CORSO MASSIMO D' AZEGLIO, 60</v>
          </cell>
          <cell r="F597">
            <v>10126</v>
          </cell>
          <cell r="G597" t="str">
            <v>TORINO</v>
          </cell>
          <cell r="H597" t="str">
            <v>TO</v>
          </cell>
          <cell r="I597" t="str">
            <v>ITALIA</v>
          </cell>
          <cell r="J597" t="str">
            <v>393-9163917</v>
          </cell>
        </row>
        <row r="598">
          <cell r="B598">
            <v>7996</v>
          </cell>
          <cell r="C598" t="str">
            <v>CIALDOPOLI 2 DI NAPOLIMICHELANGELO</v>
          </cell>
          <cell r="E598" t="str">
            <v>VIA SARZANA 425/427</v>
          </cell>
          <cell r="F598">
            <v>19126</v>
          </cell>
          <cell r="G598" t="str">
            <v>LA SPEZIA</v>
          </cell>
          <cell r="H598" t="str">
            <v>SP</v>
          </cell>
          <cell r="I598" t="str">
            <v>ITALIA</v>
          </cell>
          <cell r="J598" t="str">
            <v>333-1582023</v>
          </cell>
        </row>
        <row r="599">
          <cell r="B599">
            <v>6568</v>
          </cell>
          <cell r="C599" t="str">
            <v>CIALDOPOLI DI  NAPOLI MAURIZIO</v>
          </cell>
          <cell r="D599" t="str">
            <v>01328270457 NPLMRZ70A27L219 D</v>
          </cell>
          <cell r="E599" t="str">
            <v>VIALE SAN BARTOLOMEO,  447</v>
          </cell>
          <cell r="F599">
            <v>19126</v>
          </cell>
          <cell r="G599" t="str">
            <v>LA SPEZIA</v>
          </cell>
          <cell r="H599" t="str">
            <v>SP</v>
          </cell>
          <cell r="I599" t="str">
            <v>ITALIA</v>
          </cell>
          <cell r="J599" t="str">
            <v>338-8138052</v>
          </cell>
        </row>
        <row r="600">
          <cell r="B600">
            <v>7071</v>
          </cell>
          <cell r="C600" t="str">
            <v>CIARAMELLA LUISA</v>
          </cell>
          <cell r="D600" t="str">
            <v>CRMLSU61L69A512 T</v>
          </cell>
          <cell r="E600" t="str">
            <v>VIA ALESSANDRINI, 2/1</v>
          </cell>
          <cell r="F600">
            <v>20096</v>
          </cell>
          <cell r="G600" t="str">
            <v>PIOLTELLO</v>
          </cell>
          <cell r="H600" t="str">
            <v>MI</v>
          </cell>
          <cell r="I600" t="str">
            <v>ITALIA</v>
          </cell>
          <cell r="J600" t="str">
            <v>339-2887105</v>
          </cell>
        </row>
        <row r="601">
          <cell r="B601">
            <v>6721</v>
          </cell>
          <cell r="C601" t="str">
            <v>CIGNO MATIK  CIALDE DI DONA'  FRANCESCA</v>
          </cell>
          <cell r="D601" t="str">
            <v>03673260125 DNOFNC93C64D869 V</v>
          </cell>
          <cell r="E601" t="str">
            <v>VIA VARESE, 22</v>
          </cell>
          <cell r="F601">
            <v>21013</v>
          </cell>
          <cell r="G601" t="str">
            <v>GALLARATE</v>
          </cell>
          <cell r="H601" t="str">
            <v>VA</v>
          </cell>
          <cell r="I601" t="str">
            <v>ITALIA</v>
          </cell>
          <cell r="J601" t="str">
            <v>346-5150515</v>
          </cell>
        </row>
        <row r="602">
          <cell r="B602">
            <v>1786</v>
          </cell>
          <cell r="C602" t="str">
            <v>CIGNO MATIK DI  DONA' LUCIANO</v>
          </cell>
          <cell r="D602" t="str">
            <v>02723680126 DNOLCN58B09E367 G</v>
          </cell>
          <cell r="E602" t="str">
            <v>VIA PASSO CAMPOLONGO, 70</v>
          </cell>
          <cell r="F602">
            <v>21013</v>
          </cell>
          <cell r="G602" t="str">
            <v>GALLARATE</v>
          </cell>
          <cell r="H602" t="str">
            <v>VA</v>
          </cell>
          <cell r="I602" t="str">
            <v>ITALIA</v>
          </cell>
          <cell r="J602" t="str">
            <v>348-0830063</v>
          </cell>
        </row>
        <row r="603">
          <cell r="B603">
            <v>6927</v>
          </cell>
          <cell r="C603" t="str">
            <v>CIGNO MATIK S.R.L.</v>
          </cell>
          <cell r="D603" t="str">
            <v>03748890120 03748890120</v>
          </cell>
          <cell r="E603" t="str">
            <v>VIA PASSOLONGO, 70</v>
          </cell>
          <cell r="F603">
            <v>21013</v>
          </cell>
          <cell r="G603" t="str">
            <v>GALLARATE</v>
          </cell>
          <cell r="H603" t="str">
            <v>VA</v>
          </cell>
          <cell r="I603" t="str">
            <v>ITALIA</v>
          </cell>
          <cell r="J603" t="str">
            <v>348-0830063</v>
          </cell>
        </row>
        <row r="604">
          <cell r="B604">
            <v>7300</v>
          </cell>
          <cell r="C604" t="str">
            <v>CINQUINA SERENA</v>
          </cell>
          <cell r="D604" t="str">
            <v>CNQSRN96L64E435 I</v>
          </cell>
          <cell r="E604" t="str">
            <v>VIA MADONNA DELLE  GRAZIE 26F</v>
          </cell>
          <cell r="F604">
            <v>66050</v>
          </cell>
          <cell r="G604" t="str">
            <v>SAN SALVO</v>
          </cell>
          <cell r="H604" t="str">
            <v>CH</v>
          </cell>
          <cell r="I604" t="str">
            <v>ITALIA</v>
          </cell>
          <cell r="J604" t="str">
            <v>347-9431189</v>
          </cell>
        </row>
        <row r="605">
          <cell r="B605">
            <v>6077</v>
          </cell>
          <cell r="C605" t="str">
            <v>CIRCOLO A.C.L.I. LE  TERRAZZE</v>
          </cell>
          <cell r="D605" t="str">
            <v>05711730019</v>
          </cell>
          <cell r="E605" t="str">
            <v>CORSO SVIZZERA, 185</v>
          </cell>
          <cell r="F605">
            <v>10100</v>
          </cell>
          <cell r="G605" t="str">
            <v>TORINO</v>
          </cell>
          <cell r="H605" t="str">
            <v>TO</v>
          </cell>
          <cell r="I605" t="str">
            <v>ITALIA</v>
          </cell>
          <cell r="J605" t="str">
            <v>327-7189810</v>
          </cell>
        </row>
        <row r="606">
          <cell r="B606">
            <v>3591</v>
          </cell>
          <cell r="C606" t="str">
            <v>CIRILLO LUIGI</v>
          </cell>
          <cell r="D606" t="str">
            <v>02509280034 CRLLGU80L03B019 W</v>
          </cell>
          <cell r="E606" t="str">
            <v>VIA CREMOSINA, 27</v>
          </cell>
          <cell r="F606">
            <v>13018</v>
          </cell>
          <cell r="G606" t="str">
            <v>VALDUGGIA</v>
          </cell>
          <cell r="H606" t="str">
            <v>VC</v>
          </cell>
          <cell r="I606" t="str">
            <v>ITALIA</v>
          </cell>
          <cell r="J606" t="str">
            <v>328-4757352</v>
          </cell>
        </row>
        <row r="607">
          <cell r="B607">
            <v>6998</v>
          </cell>
          <cell r="C607" t="str">
            <v>CIRSTINOIU  BOGDAN</v>
          </cell>
          <cell r="D607" t="str">
            <v>CRSBDN86C17Z129 V</v>
          </cell>
          <cell r="E607" t="str">
            <v>VIA BUONARROTI, 12</v>
          </cell>
          <cell r="F607">
            <v>10036</v>
          </cell>
          <cell r="G607" t="str">
            <v>SETTIMO  TORINESE</v>
          </cell>
          <cell r="H607" t="str">
            <v>TO</v>
          </cell>
          <cell r="I607" t="str">
            <v>ITALIA</v>
          </cell>
          <cell r="J607" t="str">
            <v>388-9250006</v>
          </cell>
        </row>
        <row r="608">
          <cell r="B608">
            <v>4757</v>
          </cell>
          <cell r="C608" t="str">
            <v>CITY COFFEE DI  ANDREANI TILDE  LORIDANA</v>
          </cell>
          <cell r="D608" t="str">
            <v>01427140114 NDRTDL43E63I449 O</v>
          </cell>
          <cell r="E608" t="str">
            <v>VIA LUNENSE, 15</v>
          </cell>
          <cell r="F608">
            <v>19033</v>
          </cell>
          <cell r="G608" t="str">
            <v>CASTELNUOVO  MAGRA</v>
          </cell>
          <cell r="H608" t="str">
            <v>SP</v>
          </cell>
          <cell r="I608" t="str">
            <v>ITALIA</v>
          </cell>
          <cell r="J608" t="str">
            <v>334-7525305</v>
          </cell>
        </row>
        <row r="609">
          <cell r="B609">
            <v>6539</v>
          </cell>
          <cell r="C609" t="str">
            <v>CITY COFFEE DI  BALDI GABRIELE</v>
          </cell>
          <cell r="D609" t="str">
            <v>01464020112 BLDGRL98M08I449 V</v>
          </cell>
          <cell r="E609" t="str">
            <v>VIA ITALIA, 82</v>
          </cell>
          <cell r="F609">
            <v>19020</v>
          </cell>
          <cell r="G609" t="str">
            <v>BOLANO</v>
          </cell>
          <cell r="H609" t="str">
            <v>SP</v>
          </cell>
          <cell r="I609" t="str">
            <v>ITALIA</v>
          </cell>
          <cell r="J609" t="str">
            <v>348-8462922</v>
          </cell>
        </row>
        <row r="610">
          <cell r="B610">
            <v>3968</v>
          </cell>
          <cell r="C610" t="str">
            <v>CLASI S.R.L.</v>
          </cell>
          <cell r="D610" t="str">
            <v>09920241008 09920241008</v>
          </cell>
          <cell r="E610" t="str">
            <v>VIA DEL QUADRARO 18</v>
          </cell>
          <cell r="F610">
            <v>174</v>
          </cell>
          <cell r="G610" t="str">
            <v>ROMA</v>
          </cell>
          <cell r="H610" t="str">
            <v>RM</v>
          </cell>
          <cell r="I610" t="str">
            <v>ITALIA</v>
          </cell>
          <cell r="J610" t="str">
            <v>349-5310044</v>
          </cell>
        </row>
        <row r="611">
          <cell r="B611">
            <v>4916</v>
          </cell>
          <cell r="C611" t="str">
            <v>CLEAN WORLD DI  BOTTA DAVIDE</v>
          </cell>
          <cell r="D611" t="str">
            <v>11591390015 BTTDVD85C12F335 I</v>
          </cell>
          <cell r="E611" t="str">
            <v>VIA GALILEI, 4 BIS</v>
          </cell>
          <cell r="F611">
            <v>10024</v>
          </cell>
          <cell r="G611" t="str">
            <v>MONCALIERI</v>
          </cell>
          <cell r="H611" t="str">
            <v>TO</v>
          </cell>
          <cell r="I611" t="str">
            <v>ITALIA</v>
          </cell>
          <cell r="J611" t="str">
            <v>339-8792746</v>
          </cell>
        </row>
        <row r="612">
          <cell r="B612">
            <v>4929</v>
          </cell>
          <cell r="C612" t="str">
            <v>CLICK CAFFE' S.R.L.</v>
          </cell>
          <cell r="D612" t="str">
            <v>11156710011 11156710011</v>
          </cell>
          <cell r="E612" t="str">
            <v>CORSO MONTEVECCHIO,  62</v>
          </cell>
          <cell r="F612">
            <v>10129</v>
          </cell>
          <cell r="G612" t="str">
            <v>TORINO</v>
          </cell>
          <cell r="H612" t="str">
            <v>TO</v>
          </cell>
          <cell r="I612" t="str">
            <v>ITALIA</v>
          </cell>
          <cell r="J612" t="str">
            <v>011-19711095</v>
          </cell>
        </row>
        <row r="613">
          <cell r="B613">
            <v>3784</v>
          </cell>
          <cell r="C613" t="str">
            <v>CLICK SERVICE DI  YESSON ADIL</v>
          </cell>
          <cell r="D613" t="str">
            <v>03084610132 YSSDLA79M17Z330 D</v>
          </cell>
          <cell r="E613" t="str">
            <v>VIA ROMA, 25</v>
          </cell>
          <cell r="F613">
            <v>23887</v>
          </cell>
          <cell r="G613" t="str">
            <v>OLGIATE  MOLGORA</v>
          </cell>
          <cell r="H613" t="str">
            <v>LC</v>
          </cell>
          <cell r="I613" t="str">
            <v>ITALIA</v>
          </cell>
          <cell r="J613" t="str">
            <v xml:space="preserve">039-9274453 </v>
          </cell>
        </row>
        <row r="614">
          <cell r="B614">
            <v>7273</v>
          </cell>
          <cell r="C614" t="str">
            <v>COBALCHINI LORETA</v>
          </cell>
          <cell r="D614" t="str">
            <v>CBLLRT49E63B795Y</v>
          </cell>
          <cell r="E614" t="str">
            <v>VIA FRAZIONE  CAMAZZOLE, 21</v>
          </cell>
          <cell r="F614">
            <v>35010</v>
          </cell>
          <cell r="G614" t="str">
            <v>CARMIGNANO  DI BRENTA</v>
          </cell>
          <cell r="H614" t="str">
            <v>PD</v>
          </cell>
          <cell r="I614" t="str">
            <v>ITALIA</v>
          </cell>
          <cell r="J614" t="str">
            <v>335-7588850</v>
          </cell>
        </row>
        <row r="615">
          <cell r="B615">
            <v>194</v>
          </cell>
          <cell r="C615" t="str">
            <v>COBEMA DI  BELLOTTI GIOVANNI</v>
          </cell>
          <cell r="D615" t="str">
            <v>01549130126 BLLGNN39A06B300 R</v>
          </cell>
          <cell r="E615" t="str">
            <v>VIA ISONZO,35</v>
          </cell>
          <cell r="F615">
            <v>21052</v>
          </cell>
          <cell r="G615" t="str">
            <v>BUSTO ARSIZIO</v>
          </cell>
          <cell r="H615" t="str">
            <v>VA</v>
          </cell>
          <cell r="I615" t="str">
            <v>ITALIA</v>
          </cell>
          <cell r="J615" t="str">
            <v>0331-625162</v>
          </cell>
        </row>
        <row r="616">
          <cell r="B616">
            <v>3823</v>
          </cell>
          <cell r="C616" t="str">
            <v>COCCIONE D.A. S.R. L.</v>
          </cell>
          <cell r="D616" t="str">
            <v>01947240683 01947240683</v>
          </cell>
          <cell r="E616" t="str">
            <v>VIA ERASMO PIAGGIO  C/O PARCO PAGLIA</v>
          </cell>
          <cell r="F616">
            <v>66100</v>
          </cell>
          <cell r="G616" t="str">
            <v>CHIETI SCALO</v>
          </cell>
          <cell r="H616" t="str">
            <v>CH</v>
          </cell>
          <cell r="I616" t="str">
            <v>ITALIA</v>
          </cell>
          <cell r="J616" t="str">
            <v>0871-564844</v>
          </cell>
        </row>
        <row r="617">
          <cell r="B617">
            <v>6843</v>
          </cell>
          <cell r="C617" t="str">
            <v>COFFEA CAPS DI  OGGERI CRISTINA</v>
          </cell>
          <cell r="D617" t="str">
            <v>11839280010 GGRCST62D63E379 I</v>
          </cell>
          <cell r="E617" t="str">
            <v>VIA TORINO, 237</v>
          </cell>
          <cell r="F617">
            <v>10015</v>
          </cell>
          <cell r="G617" t="str">
            <v>IVREA</v>
          </cell>
          <cell r="H617" t="str">
            <v>TO</v>
          </cell>
          <cell r="I617" t="str">
            <v>ITALIA</v>
          </cell>
          <cell r="J617" t="str">
            <v>0125-253610</v>
          </cell>
        </row>
        <row r="618">
          <cell r="B618">
            <v>6704</v>
          </cell>
          <cell r="C618" t="str">
            <v>COFFEA S.N.C.  DI ZANARDO ELISA  &amp; GISELLA</v>
          </cell>
          <cell r="D618" t="str">
            <v>02526030180 02526030180</v>
          </cell>
          <cell r="E618" t="str">
            <v>VIA TRENTO, 86</v>
          </cell>
          <cell r="F618">
            <v>27049</v>
          </cell>
          <cell r="G618" t="str">
            <v>STRADELLA</v>
          </cell>
          <cell r="H618" t="str">
            <v>PV</v>
          </cell>
          <cell r="I618" t="str">
            <v>ITALIA</v>
          </cell>
          <cell r="J618" t="str">
            <v>0385-245346</v>
          </cell>
        </row>
        <row r="619">
          <cell r="B619">
            <v>6831</v>
          </cell>
          <cell r="C619" t="str">
            <v>COFFEA S.R.L.</v>
          </cell>
          <cell r="D619" t="str">
            <v>01781300338</v>
          </cell>
          <cell r="E619" t="str">
            <v>VIA CAVOUR, 1/A</v>
          </cell>
          <cell r="F619">
            <v>29015</v>
          </cell>
          <cell r="G619" t="str">
            <v>CASTEL SAN  GIOVANNI</v>
          </cell>
          <cell r="H619" t="str">
            <v>PC</v>
          </cell>
          <cell r="I619" t="str">
            <v>ITALIA</v>
          </cell>
          <cell r="J619" t="str">
            <v>391-1123020</v>
          </cell>
        </row>
        <row r="620">
          <cell r="B620">
            <v>4925</v>
          </cell>
          <cell r="C620" t="str">
            <v>COFFEE &amp; SNACK DI  ATTINO GIUSEPPE</v>
          </cell>
          <cell r="D620" t="str">
            <v>08625690014 TTNGPP66D14D643 O</v>
          </cell>
          <cell r="E620" t="str">
            <v>VIA NIZZA, 241/B</v>
          </cell>
          <cell r="F620">
            <v>10100</v>
          </cell>
          <cell r="G620" t="str">
            <v>TORINO</v>
          </cell>
          <cell r="H620" t="str">
            <v>TO</v>
          </cell>
          <cell r="I620" t="str">
            <v>ITALIA</v>
          </cell>
          <cell r="J620" t="str">
            <v>335-8196502</v>
          </cell>
        </row>
        <row r="621">
          <cell r="B621">
            <v>5224</v>
          </cell>
          <cell r="C621" t="str">
            <v>COFFEE AND DRINK  DI GIBIN FABIO</v>
          </cell>
          <cell r="D621" t="str">
            <v>07854390015 GBNFBA75T10H355 H</v>
          </cell>
          <cell r="E621" t="str">
            <v>VIA VAL DELLA TORRE, 48</v>
          </cell>
          <cell r="F621">
            <v>10044</v>
          </cell>
          <cell r="G621" t="str">
            <v>PIANEZZA</v>
          </cell>
          <cell r="H621" t="str">
            <v>TO</v>
          </cell>
          <cell r="I621" t="str">
            <v>ITALIA</v>
          </cell>
          <cell r="J621" t="str">
            <v>348-3524258</v>
          </cell>
        </row>
        <row r="622">
          <cell r="B622">
            <v>6685</v>
          </cell>
          <cell r="C622" t="str">
            <v>COFFEE AROMA  DI PELUSO SIMONE  DAMIANO</v>
          </cell>
          <cell r="D622" t="str">
            <v>02685120186 PLSSND96B29F205 K</v>
          </cell>
          <cell r="E622" t="str">
            <v>VIA G.CARDUCCI, 15</v>
          </cell>
          <cell r="F622">
            <v>27010</v>
          </cell>
          <cell r="G622" t="str">
            <v>VELLEZZO  BELLINI</v>
          </cell>
          <cell r="H622" t="str">
            <v>PV</v>
          </cell>
          <cell r="I622" t="str">
            <v>ITALIA</v>
          </cell>
          <cell r="J622" t="str">
            <v>349-8151065</v>
          </cell>
        </row>
        <row r="623">
          <cell r="B623">
            <v>4977</v>
          </cell>
          <cell r="C623" t="str">
            <v>COFFEE ART DI  ALESSANDRO  BATTIATO</v>
          </cell>
          <cell r="D623" t="str">
            <v>04305670400 BTTLSN77D05C133 V</v>
          </cell>
          <cell r="E623" t="str">
            <v>VIA EZIO LORENZINI, 155</v>
          </cell>
          <cell r="F623">
            <v>47035</v>
          </cell>
          <cell r="G623" t="str">
            <v>GAMBETTOLA</v>
          </cell>
          <cell r="H623" t="str">
            <v>FC</v>
          </cell>
          <cell r="I623" t="str">
            <v>ITALIA</v>
          </cell>
          <cell r="J623" t="str">
            <v xml:space="preserve">011-45094944 </v>
          </cell>
        </row>
        <row r="624">
          <cell r="B624">
            <v>5462</v>
          </cell>
          <cell r="C624" t="str">
            <v>COFFEE ART DI  ALESSANDRO  BATTIATO</v>
          </cell>
          <cell r="D624" t="str">
            <v>08395210019 08395210019</v>
          </cell>
          <cell r="E624" t="str">
            <v>VIA EZIO LORENZINI, 155</v>
          </cell>
          <cell r="F624">
            <v>47035</v>
          </cell>
          <cell r="G624" t="str">
            <v>GAMBETTOLA</v>
          </cell>
          <cell r="H624" t="str">
            <v>FC</v>
          </cell>
          <cell r="I624" t="str">
            <v>ITALIA</v>
          </cell>
          <cell r="J624" t="str">
            <v>011-4504944</v>
          </cell>
        </row>
        <row r="625">
          <cell r="B625">
            <v>4667</v>
          </cell>
          <cell r="C625" t="str">
            <v>COFFEE BLUE DI  KRYVETS TETYANA</v>
          </cell>
          <cell r="D625" t="str">
            <v>07349380969 KRYTYN75S41Z138 C</v>
          </cell>
          <cell r="E625" t="str">
            <v>VIA MATTEOTTI, 48</v>
          </cell>
          <cell r="F625">
            <v>20832</v>
          </cell>
          <cell r="G625" t="str">
            <v>DESIO</v>
          </cell>
          <cell r="H625" t="str">
            <v>MB</v>
          </cell>
          <cell r="I625" t="str">
            <v>ITALIA</v>
          </cell>
          <cell r="J625" t="str">
            <v>333-8569466</v>
          </cell>
        </row>
        <row r="626">
          <cell r="B626">
            <v>10165</v>
          </cell>
          <cell r="C626" t="str">
            <v>COFFEE BREAK FULL TECH</v>
          </cell>
          <cell r="E626" t="str">
            <v>VIA I MAGGIO,4</v>
          </cell>
          <cell r="F626">
            <v>37040</v>
          </cell>
          <cell r="G626" t="str">
            <v>PRESSANA</v>
          </cell>
          <cell r="H626" t="str">
            <v>VR</v>
          </cell>
          <cell r="I626" t="str">
            <v>ITALIA</v>
          </cell>
          <cell r="J626" t="str">
            <v>0442-411640</v>
          </cell>
        </row>
        <row r="627">
          <cell r="B627">
            <v>6766</v>
          </cell>
          <cell r="C627" t="str">
            <v>COFFEE BREAK S.A.S.</v>
          </cell>
          <cell r="D627" t="str">
            <v>03764720136 03764720136</v>
          </cell>
          <cell r="E627" t="str">
            <v>VIA GARIBALDI, 38</v>
          </cell>
          <cell r="F627">
            <v>22073</v>
          </cell>
          <cell r="G627" t="str">
            <v>FINO MORNASCO</v>
          </cell>
          <cell r="H627" t="str">
            <v>CO</v>
          </cell>
          <cell r="I627" t="str">
            <v>ITALIA</v>
          </cell>
          <cell r="J627" t="str">
            <v>392-8894966</v>
          </cell>
        </row>
        <row r="628">
          <cell r="B628">
            <v>6083</v>
          </cell>
          <cell r="C628" t="str">
            <v>COFFEE BREAK S.R. L.</v>
          </cell>
          <cell r="D628" t="str">
            <v>02980120048 02980120048</v>
          </cell>
          <cell r="E628" t="str">
            <v>VIA CAGNA 5/A</v>
          </cell>
          <cell r="F628">
            <v>12055</v>
          </cell>
          <cell r="G628" t="str">
            <v>DIANO D'ALBA -  FRAZIONE RICCA</v>
          </cell>
          <cell r="H628" t="str">
            <v>CN</v>
          </cell>
          <cell r="I628" t="str">
            <v>ITALIA</v>
          </cell>
          <cell r="J628" t="str">
            <v xml:space="preserve">0173-612742 </v>
          </cell>
        </row>
        <row r="629">
          <cell r="B629">
            <v>4763</v>
          </cell>
          <cell r="C629" t="str">
            <v>COFFEE CAPS DI  CUDIA MARIA LUISA</v>
          </cell>
          <cell r="D629" t="str">
            <v>03460910122 CDUMLS76E58L319 Y</v>
          </cell>
          <cell r="E629" t="str">
            <v>VIA CESARE BATTISTI, 41</v>
          </cell>
          <cell r="F629">
            <v>21043</v>
          </cell>
          <cell r="G629" t="str">
            <v>CASTIGLIONE  OLONA</v>
          </cell>
          <cell r="H629" t="str">
            <v>VA</v>
          </cell>
          <cell r="I629" t="str">
            <v>ITALIA</v>
          </cell>
          <cell r="J629" t="str">
            <v>349-1721898</v>
          </cell>
        </row>
        <row r="630">
          <cell r="B630">
            <v>6805</v>
          </cell>
          <cell r="C630" t="str">
            <v>COFFEE CAPS DI  SIRONI LAURA</v>
          </cell>
          <cell r="D630" t="str">
            <v>03618610137 SRNLRA78B68M052 L</v>
          </cell>
          <cell r="E630" t="str">
            <v>VIA DON CARLO  GIOVENZANA, 6B</v>
          </cell>
          <cell r="F630">
            <v>23880</v>
          </cell>
          <cell r="G630" t="str">
            <v>CASATENOVO</v>
          </cell>
          <cell r="H630" t="str">
            <v>LC</v>
          </cell>
          <cell r="I630" t="str">
            <v>ITALIA</v>
          </cell>
          <cell r="J630" t="str">
            <v>039-6771007</v>
          </cell>
        </row>
        <row r="631">
          <cell r="B631">
            <v>4752</v>
          </cell>
          <cell r="C631" t="str">
            <v>COFFEE CUPS S.A.S. DISTRIBUZIONE  AUTOMATICA</v>
          </cell>
          <cell r="D631" t="str">
            <v>02586490423 02586490423</v>
          </cell>
          <cell r="E631" t="str">
            <v>VIA MONTE ADAMELLO, 61</v>
          </cell>
          <cell r="F631">
            <v>10023</v>
          </cell>
          <cell r="G631" t="str">
            <v>CHIERI</v>
          </cell>
          <cell r="H631" t="str">
            <v>TO</v>
          </cell>
          <cell r="I631" t="str">
            <v>ITALIA</v>
          </cell>
          <cell r="J631" t="str">
            <v>011-9436809</v>
          </cell>
        </row>
        <row r="632">
          <cell r="B632">
            <v>4008</v>
          </cell>
          <cell r="C632" t="str">
            <v>COFFEE DREAM DI  FLORIO DIMITRI</v>
          </cell>
          <cell r="D632" t="str">
            <v>10526450019 FLRDTR79E12G674 O</v>
          </cell>
          <cell r="E632" t="str">
            <v>VIA ALTINA, 13</v>
          </cell>
          <cell r="F632">
            <v>10048</v>
          </cell>
          <cell r="G632" t="str">
            <v>VINOVO</v>
          </cell>
          <cell r="H632" t="str">
            <v>TO</v>
          </cell>
          <cell r="I632" t="str">
            <v>ITALIA</v>
          </cell>
          <cell r="J632" t="str">
            <v>393-5563000</v>
          </cell>
        </row>
        <row r="633">
          <cell r="B633">
            <v>4155</v>
          </cell>
          <cell r="C633" t="str">
            <v>COFFEE DREAM DI  STEFANO ALVARO</v>
          </cell>
          <cell r="D633" t="str">
            <v>02109760997 LVRSFN70M31D969 K</v>
          </cell>
          <cell r="E633" t="str">
            <v>VIA G. CASAREGIS, 95R</v>
          </cell>
          <cell r="F633">
            <v>16129</v>
          </cell>
          <cell r="G633" t="str">
            <v>GENOVA</v>
          </cell>
          <cell r="H633" t="str">
            <v>GE</v>
          </cell>
          <cell r="I633" t="str">
            <v>ITALIA</v>
          </cell>
          <cell r="J633" t="str">
            <v>010-8370422</v>
          </cell>
        </row>
        <row r="634">
          <cell r="B634">
            <v>6703</v>
          </cell>
          <cell r="C634" t="str">
            <v>COFFEE EXPRESS  SRL</v>
          </cell>
          <cell r="D634" t="str">
            <v>01227870779 01227870779</v>
          </cell>
          <cell r="E634" t="str">
            <v>VIA SAN GIOVANNI  BOSCO</v>
          </cell>
          <cell r="F634">
            <v>75020</v>
          </cell>
          <cell r="G634" t="str">
            <v>MARCONIA</v>
          </cell>
          <cell r="H634" t="str">
            <v>MT</v>
          </cell>
          <cell r="I634" t="str">
            <v>ITALIA</v>
          </cell>
          <cell r="J634" t="str">
            <v>0835-411386</v>
          </cell>
        </row>
        <row r="635">
          <cell r="B635">
            <v>8022</v>
          </cell>
          <cell r="C635" t="str">
            <v>COFFEE EXPRESS DI GADAU LUCA</v>
          </cell>
          <cell r="F635">
            <v>20090</v>
          </cell>
          <cell r="G635" t="str">
            <v>BUCCINASCO</v>
          </cell>
          <cell r="H635" t="str">
            <v>MI</v>
          </cell>
          <cell r="I635" t="str">
            <v>ITALIA</v>
          </cell>
          <cell r="J635" t="str">
            <v>338-9616929</v>
          </cell>
        </row>
        <row r="636">
          <cell r="B636">
            <v>3487</v>
          </cell>
          <cell r="C636" t="str">
            <v>COFFEE HOUSE  S.N.C. DI COLONNA  RAMON &amp; C.</v>
          </cell>
          <cell r="D636" t="str">
            <v>04794740961 04794740961</v>
          </cell>
          <cell r="E636" t="str">
            <v>VIA AMORETTI, 3</v>
          </cell>
          <cell r="F636">
            <v>20157</v>
          </cell>
          <cell r="G636" t="str">
            <v>MILANO</v>
          </cell>
          <cell r="H636" t="str">
            <v>MI</v>
          </cell>
          <cell r="I636" t="str">
            <v>ITALIA</v>
          </cell>
          <cell r="J636" t="str">
            <v>331-6081683</v>
          </cell>
        </row>
        <row r="637">
          <cell r="B637">
            <v>4834</v>
          </cell>
          <cell r="C637" t="str">
            <v>COFFEE HOUSE DI  RUBINO ANDREA</v>
          </cell>
          <cell r="D637" t="str">
            <v>11500070013 RBNNDR77A03H355 A</v>
          </cell>
          <cell r="E637" t="str">
            <v>VIA TORINO, 20</v>
          </cell>
          <cell r="F637">
            <v>10040</v>
          </cell>
          <cell r="G637" t="str">
            <v>DRUENTO</v>
          </cell>
          <cell r="H637" t="str">
            <v>TO</v>
          </cell>
          <cell r="I637" t="str">
            <v>ITALIA</v>
          </cell>
          <cell r="J637" t="str">
            <v>340-0879998</v>
          </cell>
        </row>
        <row r="638">
          <cell r="B638">
            <v>1475</v>
          </cell>
          <cell r="C638" t="str">
            <v>COFFEE HOUSE S.R. L.</v>
          </cell>
          <cell r="D638" t="str">
            <v>01955660020 01955660020</v>
          </cell>
          <cell r="E638" t="str">
            <v>VIA GARIBALDI, 105/A</v>
          </cell>
          <cell r="F638">
            <v>13011</v>
          </cell>
          <cell r="G638" t="str">
            <v>CREVACUORE</v>
          </cell>
          <cell r="H638" t="str">
            <v>BI</v>
          </cell>
          <cell r="I638" t="str">
            <v>ITALIA</v>
          </cell>
          <cell r="J638" t="str">
            <v>0163-432430</v>
          </cell>
        </row>
        <row r="639">
          <cell r="B639">
            <v>4111</v>
          </cell>
          <cell r="C639" t="str">
            <v>COFFEE MAN SAGL</v>
          </cell>
          <cell r="D639"/>
          <cell r="E639" t="str">
            <v>VIA BOSSI, 8</v>
          </cell>
          <cell r="F639">
            <v>6830</v>
          </cell>
          <cell r="G639" t="str">
            <v>CHIASSO</v>
          </cell>
          <cell r="H639" t="str">
            <v>CH</v>
          </cell>
          <cell r="I639" t="str">
            <v>SVIZZERA</v>
          </cell>
          <cell r="J639" t="str">
            <v>347-4087700</v>
          </cell>
        </row>
        <row r="640">
          <cell r="B640">
            <v>2331</v>
          </cell>
          <cell r="C640" t="str">
            <v>COFFEE MATIC  MACHINE DI BREDA GIOVANNI</v>
          </cell>
          <cell r="D640" t="str">
            <v>09175020016 BRDGNN66D25L219 O</v>
          </cell>
          <cell r="E640" t="str">
            <v>VIA VENARIA, 60/8</v>
          </cell>
          <cell r="F640">
            <v>10148</v>
          </cell>
          <cell r="G640" t="str">
            <v>TORINO</v>
          </cell>
          <cell r="H640" t="str">
            <v>TO</v>
          </cell>
          <cell r="I640" t="str">
            <v>ITALIA</v>
          </cell>
          <cell r="J640" t="str">
            <v>011-2745994</v>
          </cell>
        </row>
        <row r="641">
          <cell r="B641">
            <v>5718</v>
          </cell>
          <cell r="C641" t="str">
            <v>COFFEE MATIC S.N. C. DI DE STEFANIS  GIORGIO &amp; C.</v>
          </cell>
          <cell r="D641" t="str">
            <v>02350780041 02350780041</v>
          </cell>
          <cell r="E641" t="str">
            <v>VIA MONTEU ROERO, 66</v>
          </cell>
          <cell r="F641">
            <v>12043</v>
          </cell>
          <cell r="G641" t="str">
            <v>CANALE</v>
          </cell>
          <cell r="H641" t="str">
            <v>CN</v>
          </cell>
          <cell r="I641" t="str">
            <v>ITALIA</v>
          </cell>
          <cell r="J641" t="str">
            <v xml:space="preserve">0173-979166 </v>
          </cell>
        </row>
        <row r="642">
          <cell r="B642">
            <v>5364</v>
          </cell>
          <cell r="C642" t="str">
            <v>COFFEE MOMENT S. A.S.</v>
          </cell>
          <cell r="D642" t="str">
            <v>02837020045 02837020045</v>
          </cell>
          <cell r="E642" t="str">
            <v>REG. PARACOLLO. 13/A</v>
          </cell>
          <cell r="F642">
            <v>12037</v>
          </cell>
          <cell r="G642" t="str">
            <v>SALUZZO</v>
          </cell>
          <cell r="H642" t="str">
            <v>CN</v>
          </cell>
          <cell r="I642" t="str">
            <v>ITALIA</v>
          </cell>
          <cell r="J642" t="str">
            <v xml:space="preserve">0175-71108 </v>
          </cell>
        </row>
        <row r="643">
          <cell r="B643">
            <v>6589</v>
          </cell>
          <cell r="C643" t="str">
            <v>COFFEE OUTLET DI  RAINONE MARIO</v>
          </cell>
          <cell r="D643" t="str">
            <v>02513950184 RNNMRA56T03F995 T</v>
          </cell>
          <cell r="E643" t="str">
            <v>VIA DEPRETIS, 29</v>
          </cell>
          <cell r="F643">
            <v>27058</v>
          </cell>
          <cell r="G643" t="str">
            <v>VOGHERA</v>
          </cell>
          <cell r="H643" t="str">
            <v>PV</v>
          </cell>
          <cell r="I643" t="str">
            <v>ITALIA</v>
          </cell>
          <cell r="J643" t="str">
            <v>320-1179723</v>
          </cell>
        </row>
        <row r="644">
          <cell r="B644">
            <v>8374</v>
          </cell>
          <cell r="C644" t="str">
            <v>COFFEE OUTLET DI PASTORE LORENZA</v>
          </cell>
          <cell r="E644" t="str">
            <v>VIA A. DE PRETIS,29</v>
          </cell>
          <cell r="F644">
            <v>27058</v>
          </cell>
          <cell r="G644" t="str">
            <v>VOGHERA</v>
          </cell>
          <cell r="H644" t="str">
            <v>PV</v>
          </cell>
          <cell r="I644" t="str">
            <v>ITALIA</v>
          </cell>
          <cell r="J644" t="str">
            <v>0383-649403</v>
          </cell>
        </row>
        <row r="645">
          <cell r="B645">
            <v>3271</v>
          </cell>
          <cell r="C645" t="str">
            <v>COFFEE PASSION  DI ERIKA RAINERO</v>
          </cell>
          <cell r="D645" t="str">
            <v>01828870996 RNRRKE75S58D969 F</v>
          </cell>
          <cell r="E645" t="str">
            <v>VIA C. LINNEO, 262/7</v>
          </cell>
          <cell r="F645">
            <v>16159</v>
          </cell>
          <cell r="G645" t="str">
            <v>GENOVA</v>
          </cell>
          <cell r="H645" t="str">
            <v>GE</v>
          </cell>
          <cell r="I645" t="str">
            <v>ITALIA</v>
          </cell>
          <cell r="J645" t="str">
            <v>010-9289536</v>
          </cell>
        </row>
        <row r="646">
          <cell r="B646">
            <v>1918</v>
          </cell>
          <cell r="C646" t="str">
            <v>COFFEE PLANET S.A. S. DI DALL'AGLIO  ORLANDO &amp; C.</v>
          </cell>
          <cell r="D646" t="str">
            <v>13385710150 13385710150</v>
          </cell>
          <cell r="E646" t="str">
            <v>VIA FILIPPO DA DESIO, 35</v>
          </cell>
          <cell r="F646">
            <v>20033</v>
          </cell>
          <cell r="G646" t="str">
            <v>DESIO</v>
          </cell>
          <cell r="H646" t="str">
            <v>MB</v>
          </cell>
          <cell r="I646" t="str">
            <v>ITALIA</v>
          </cell>
          <cell r="J646" t="str">
            <v>02-66306886</v>
          </cell>
        </row>
        <row r="647">
          <cell r="B647">
            <v>1893</v>
          </cell>
          <cell r="C647" t="str">
            <v>COFFEE POINT S.R.L.</v>
          </cell>
          <cell r="D647" t="str">
            <v>02763080120 02763080120</v>
          </cell>
          <cell r="E647" t="str">
            <v>VIA LUINO, 33</v>
          </cell>
          <cell r="F647">
            <v>21037</v>
          </cell>
          <cell r="G647" t="str">
            <v>LAVENA PONTE  TRESA</v>
          </cell>
          <cell r="H647" t="str">
            <v>VA</v>
          </cell>
          <cell r="I647" t="str">
            <v>ITALIA</v>
          </cell>
          <cell r="J647" t="str">
            <v xml:space="preserve">0332-551064 </v>
          </cell>
        </row>
        <row r="648">
          <cell r="B648">
            <v>4434</v>
          </cell>
          <cell r="C648" t="str">
            <v>COFFEE SERVICE S. R.L.</v>
          </cell>
          <cell r="D648" t="str">
            <v>05459230487 05459230487</v>
          </cell>
          <cell r="E648" t="str">
            <v>VIA PIO RAJNA, 1</v>
          </cell>
          <cell r="F648">
            <v>50135</v>
          </cell>
          <cell r="G648" t="str">
            <v>FIRENZE</v>
          </cell>
          <cell r="H648" t="str">
            <v>FI</v>
          </cell>
          <cell r="I648" t="str">
            <v>ITALIA</v>
          </cell>
          <cell r="J648" t="str">
            <v>055-601771</v>
          </cell>
        </row>
        <row r="649">
          <cell r="B649">
            <v>5058</v>
          </cell>
          <cell r="C649" t="str">
            <v>COFFEE SERVICE S. R.L.</v>
          </cell>
          <cell r="D649" t="str">
            <v>05541270012 05541270012</v>
          </cell>
          <cell r="E649" t="str">
            <v>CORSO MEDITERRANEO,  106</v>
          </cell>
          <cell r="F649">
            <v>10129</v>
          </cell>
          <cell r="G649" t="str">
            <v>TORINO</v>
          </cell>
          <cell r="H649" t="str">
            <v>TO</v>
          </cell>
          <cell r="I649" t="str">
            <v>ITALIA</v>
          </cell>
          <cell r="J649" t="str">
            <v>011-6502402</v>
          </cell>
        </row>
        <row r="650">
          <cell r="B650">
            <v>4764</v>
          </cell>
          <cell r="C650" t="str">
            <v>COFFEE SHOP DI  FERRARIS MARCO</v>
          </cell>
          <cell r="D650" t="str">
            <v>02506210026 FRRMRC78T20L750 G</v>
          </cell>
          <cell r="E650" t="str">
            <v>VIA DEI MERCATI, 9</v>
          </cell>
          <cell r="F650">
            <v>13100</v>
          </cell>
          <cell r="G650" t="str">
            <v>VERCELLI</v>
          </cell>
          <cell r="H650" t="str">
            <v>VC</v>
          </cell>
          <cell r="I650" t="str">
            <v>ITALIA</v>
          </cell>
          <cell r="J650" t="str">
            <v>320-1411187</v>
          </cell>
        </row>
        <row r="651">
          <cell r="B651">
            <v>2717</v>
          </cell>
          <cell r="C651" t="str">
            <v>COFFEE SMILE DI  SCIPPA CLAUDIO</v>
          </cell>
          <cell r="D651" t="str">
            <v>09483830015 SCPCLD63C30L219 N</v>
          </cell>
          <cell r="E651" t="str">
            <v>VIA PALERMO, 17</v>
          </cell>
          <cell r="F651">
            <v>10042</v>
          </cell>
          <cell r="G651" t="str">
            <v>NICHELINO</v>
          </cell>
          <cell r="H651" t="str">
            <v>TO</v>
          </cell>
          <cell r="I651" t="str">
            <v>ITALIA</v>
          </cell>
          <cell r="J651" t="str">
            <v>347-4157239</v>
          </cell>
        </row>
        <row r="652">
          <cell r="B652">
            <v>7995</v>
          </cell>
          <cell r="C652" t="str">
            <v>COFFEE STORE</v>
          </cell>
          <cell r="E652" t="str">
            <v>VIA L. DE BOSIS, 24</v>
          </cell>
          <cell r="F652">
            <v>53100</v>
          </cell>
          <cell r="G652" t="str">
            <v>SIENA</v>
          </cell>
          <cell r="H652" t="str">
            <v>SI</v>
          </cell>
          <cell r="I652" t="str">
            <v>ITALIA</v>
          </cell>
          <cell r="J652" t="str">
            <v>0577-332536</v>
          </cell>
        </row>
        <row r="653">
          <cell r="B653">
            <v>6763</v>
          </cell>
          <cell r="C653" t="str">
            <v>COFFEE STORE 28  DI FRONTERA  MAURIZIO</v>
          </cell>
          <cell r="D653" t="str">
            <v>03806850131 FRNMRZ76D16E507 T</v>
          </cell>
          <cell r="E653" t="str">
            <v>VIA VARESINA, 109</v>
          </cell>
          <cell r="F653">
            <v>22079</v>
          </cell>
          <cell r="G653" t="str">
            <v>VILLAGUARDIA</v>
          </cell>
          <cell r="H653" t="str">
            <v>CO</v>
          </cell>
          <cell r="I653" t="str">
            <v>ITALIA</v>
          </cell>
          <cell r="J653" t="str">
            <v>371-3649295</v>
          </cell>
        </row>
        <row r="654">
          <cell r="B654">
            <v>7626</v>
          </cell>
          <cell r="C654" t="str">
            <v>COFFEE STORE DI DEMITRI GIUSEPPE</v>
          </cell>
          <cell r="E654" t="str">
            <v>VIA EMILIA PAVESE, 38/C</v>
          </cell>
          <cell r="F654">
            <v>29121</v>
          </cell>
          <cell r="G654" t="str">
            <v>PIACENZA</v>
          </cell>
          <cell r="H654" t="str">
            <v>PC</v>
          </cell>
          <cell r="I654" t="str">
            <v>ITALIA</v>
          </cell>
          <cell r="J654" t="str">
            <v>340-3738392</v>
          </cell>
        </row>
        <row r="655">
          <cell r="B655">
            <v>8167</v>
          </cell>
          <cell r="C655" t="str">
            <v>COFFEE TECH S.N.C DI DONA' GIULIA &amp; C.</v>
          </cell>
          <cell r="E655" t="str">
            <v>VIA VARESE, 22</v>
          </cell>
          <cell r="F655">
            <v>21013</v>
          </cell>
          <cell r="G655" t="str">
            <v>GALLARATE</v>
          </cell>
          <cell r="H655" t="str">
            <v>VA</v>
          </cell>
          <cell r="I655" t="str">
            <v>ITALIA</v>
          </cell>
          <cell r="J655" t="str">
            <v>375-5299699</v>
          </cell>
        </row>
        <row r="656">
          <cell r="B656">
            <v>7519</v>
          </cell>
          <cell r="C656" t="str">
            <v>COFFEE TIME DI  GATTI IVAN COSIMO</v>
          </cell>
          <cell r="D656" t="str">
            <v>03652160130 GTTVCS80P15F152 N</v>
          </cell>
          <cell r="E656" t="str">
            <v>VIA TONALE, 5</v>
          </cell>
          <cell r="F656">
            <v>22063</v>
          </cell>
          <cell r="G656" t="str">
            <v>CANTU</v>
          </cell>
          <cell r="H656" t="str">
            <v>CO</v>
          </cell>
          <cell r="I656" t="str">
            <v>ITALIA</v>
          </cell>
          <cell r="J656" t="str">
            <v>345-4360871</v>
          </cell>
        </row>
        <row r="657">
          <cell r="B657">
            <v>2681</v>
          </cell>
          <cell r="C657" t="str">
            <v>COFFEE TIME DI  PETRAROLI  MASSIMILIANO</v>
          </cell>
          <cell r="D657" t="str">
            <v>05468800965 PTRMSM70E17F205 D</v>
          </cell>
          <cell r="E657" t="str">
            <v>VIA APRICA, 26</v>
          </cell>
          <cell r="F657">
            <v>20100</v>
          </cell>
          <cell r="G657" t="str">
            <v>MILANO</v>
          </cell>
          <cell r="H657" t="str">
            <v>MI</v>
          </cell>
          <cell r="I657" t="str">
            <v>ITALIA</v>
          </cell>
          <cell r="J657" t="str">
            <v>346-8913131</v>
          </cell>
        </row>
        <row r="658">
          <cell r="B658">
            <v>6586</v>
          </cell>
          <cell r="C658" t="str">
            <v>COFFEE TIME S.N.C.</v>
          </cell>
          <cell r="D658" t="str">
            <v>03751180138 03751180138</v>
          </cell>
          <cell r="E658" t="str">
            <v>VIA NINO BIXIO, 9</v>
          </cell>
          <cell r="F658">
            <v>22063</v>
          </cell>
          <cell r="G658" t="str">
            <v>CANTU'</v>
          </cell>
          <cell r="H658" t="str">
            <v>CO</v>
          </cell>
          <cell r="I658" t="str">
            <v>ITALIA</v>
          </cell>
          <cell r="J658" t="str">
            <v>347-0366364</v>
          </cell>
        </row>
        <row r="659">
          <cell r="B659">
            <v>5396</v>
          </cell>
          <cell r="C659" t="str">
            <v>COFFEE TIME S.N.C.  DI PEZZO  ANTONELLO &amp; C.</v>
          </cell>
          <cell r="D659" t="str">
            <v>08398760010 08398760010</v>
          </cell>
          <cell r="E659" t="str">
            <v>VIA VOLTA, 28/2</v>
          </cell>
          <cell r="F659">
            <v>10040</v>
          </cell>
          <cell r="G659" t="str">
            <v>DRUENTO</v>
          </cell>
          <cell r="H659" t="str">
            <v>TO</v>
          </cell>
          <cell r="I659" t="str">
            <v>ITALIA</v>
          </cell>
          <cell r="J659" t="str">
            <v>011-9941681</v>
          </cell>
        </row>
        <row r="660">
          <cell r="B660">
            <v>142</v>
          </cell>
          <cell r="C660" t="str">
            <v>COFFEE TIME S.R.L.</v>
          </cell>
          <cell r="D660" t="str">
            <v>00265640136 00265640136</v>
          </cell>
          <cell r="E660" t="str">
            <v>VIA AZZECCAGARBUGLI,  18</v>
          </cell>
          <cell r="F660">
            <v>23900</v>
          </cell>
          <cell r="G660" t="str">
            <v>LECCO</v>
          </cell>
          <cell r="H660" t="str">
            <v>LC</v>
          </cell>
          <cell r="I660" t="str">
            <v>ITALIA</v>
          </cell>
          <cell r="J660" t="str">
            <v>0341-255230</v>
          </cell>
        </row>
        <row r="661">
          <cell r="B661">
            <v>6553</v>
          </cell>
          <cell r="C661" t="str">
            <v>COFFEE TIMES DI  DORIANA OSTUNI</v>
          </cell>
          <cell r="D661" t="str">
            <v>02009620747 STNDRN82L68C741 S</v>
          </cell>
          <cell r="E661" t="str">
            <v>VIA DELL'AGRICOLTURA,  23</v>
          </cell>
          <cell r="F661">
            <v>72015</v>
          </cell>
          <cell r="G661" t="str">
            <v>FASANO</v>
          </cell>
          <cell r="H661" t="str">
            <v>BR</v>
          </cell>
          <cell r="I661" t="str">
            <v>ITALIA</v>
          </cell>
          <cell r="J661" t="str">
            <v>333-3332221</v>
          </cell>
        </row>
        <row r="662">
          <cell r="B662">
            <v>8645</v>
          </cell>
          <cell r="C662" t="str">
            <v>COFFEE TREND DI SARA FICI</v>
          </cell>
          <cell r="E662" t="str">
            <v>VIA GERMANO JORI, 17R</v>
          </cell>
          <cell r="F662">
            <v>16161</v>
          </cell>
          <cell r="G662" t="str">
            <v>GENOVA</v>
          </cell>
          <cell r="H662" t="str">
            <v>GE</v>
          </cell>
          <cell r="I662" t="str">
            <v>ITALIA</v>
          </cell>
          <cell r="J662" t="str">
            <v>331-8602094</v>
          </cell>
        </row>
        <row r="663">
          <cell r="B663">
            <v>7616</v>
          </cell>
          <cell r="C663" t="str">
            <v>COFFEE VIBES DI MAINA SUSY</v>
          </cell>
          <cell r="E663" t="str">
            <v>VIA P.TOGLIATTI, 26</v>
          </cell>
          <cell r="F663">
            <v>27051</v>
          </cell>
          <cell r="G663" t="str">
            <v>CAVA MANARA</v>
          </cell>
          <cell r="H663" t="str">
            <v>PV</v>
          </cell>
          <cell r="I663" t="str">
            <v>ITALIA</v>
          </cell>
          <cell r="J663" t="str">
            <v>0382-1472859</v>
          </cell>
        </row>
        <row r="664">
          <cell r="B664">
            <v>6807</v>
          </cell>
          <cell r="C664" t="str">
            <v>COFFEE VP 24 SA</v>
          </cell>
          <cell r="D664" t="str">
            <v>112319325</v>
          </cell>
          <cell r="E664" t="str">
            <v>VIA BALDASSARRE  FONTANA, 4</v>
          </cell>
          <cell r="F664">
            <v>6030</v>
          </cell>
          <cell r="G664" t="str">
            <v>CHIASSO -  SVIZZERA -</v>
          </cell>
          <cell r="I664" t="str">
            <v>SVIZZERA</v>
          </cell>
          <cell r="J664" t="str">
            <v>0041(0) 919210901</v>
          </cell>
        </row>
        <row r="665">
          <cell r="B665">
            <v>3771</v>
          </cell>
          <cell r="C665" t="str">
            <v>COFFEEKING DI  SCARPETTI  MASSIMO</v>
          </cell>
          <cell r="D665" t="str">
            <v>05721710969 SCRMSM73L27F839 T</v>
          </cell>
          <cell r="E665" t="str">
            <v>VIA OROBONI, 28</v>
          </cell>
          <cell r="F665">
            <v>20161</v>
          </cell>
          <cell r="G665" t="str">
            <v>MILANO</v>
          </cell>
          <cell r="H665" t="str">
            <v>MI</v>
          </cell>
          <cell r="I665" t="str">
            <v>ITALIA</v>
          </cell>
          <cell r="J665" t="str">
            <v>02-39668204</v>
          </cell>
        </row>
        <row r="666">
          <cell r="B666">
            <v>4526</v>
          </cell>
          <cell r="C666" t="str">
            <v>COFFEELOVE DI  GIUSEPPE  FRAPPIETRI &amp; C. S. N.C.</v>
          </cell>
          <cell r="D666" t="str">
            <v>08477950961 08477950961</v>
          </cell>
          <cell r="E666" t="str">
            <v>VIA PADRE G.P. STUCCHI, 10</v>
          </cell>
          <cell r="F666">
            <v>20874</v>
          </cell>
          <cell r="G666" t="str">
            <v>BUSNAGO</v>
          </cell>
          <cell r="H666" t="str">
            <v>MB</v>
          </cell>
          <cell r="I666" t="str">
            <v>ITALIA</v>
          </cell>
          <cell r="J666" t="str">
            <v>380-6951298</v>
          </cell>
        </row>
        <row r="667">
          <cell r="B667">
            <v>3939</v>
          </cell>
          <cell r="C667" t="str">
            <v>COFFEETIME DI  CIATTI ALESSANDRO</v>
          </cell>
          <cell r="D667" t="str">
            <v>02203680604 CTTLSN70P29I838K</v>
          </cell>
          <cell r="E667" t="str">
            <v>VIA DI SANTA MARIA, 24</v>
          </cell>
          <cell r="F667">
            <v>3030</v>
          </cell>
          <cell r="G667" t="str">
            <v>PESCOSOLIDO</v>
          </cell>
          <cell r="H667" t="str">
            <v>FR</v>
          </cell>
          <cell r="I667" t="str">
            <v>ITALIA</v>
          </cell>
          <cell r="J667" t="str">
            <v>329 4253626</v>
          </cell>
        </row>
        <row r="668">
          <cell r="B668">
            <v>6915</v>
          </cell>
          <cell r="C668" t="str">
            <v>COFFEEWAY SRLS</v>
          </cell>
          <cell r="D668" t="str">
            <v>01764410096 01764410096</v>
          </cell>
          <cell r="E668" t="str">
            <v>VIA MULINO, 59</v>
          </cell>
          <cell r="F668">
            <v>17017</v>
          </cell>
          <cell r="G668" t="str">
            <v>ROCCAVIGNALE</v>
          </cell>
          <cell r="H668" t="str">
            <v>SV</v>
          </cell>
          <cell r="I668" t="str">
            <v>ITALIA</v>
          </cell>
          <cell r="J668" t="str">
            <v>345-2760300</v>
          </cell>
        </row>
        <row r="669">
          <cell r="B669">
            <v>1887</v>
          </cell>
          <cell r="C669" t="str">
            <v>COFFEMATIC 2 DI  MACCHI ANDREA &amp;  C. S.N.C.</v>
          </cell>
          <cell r="D669" t="str">
            <v>02105040022 02105040022</v>
          </cell>
          <cell r="E669" t="str">
            <v>VIA DEL LAGHETTO, 11</v>
          </cell>
          <cell r="F669">
            <v>21040</v>
          </cell>
          <cell r="G669" t="str">
            <v>OGGIONA  SANTO STEFANO</v>
          </cell>
          <cell r="H669" t="str">
            <v>VA</v>
          </cell>
          <cell r="I669" t="str">
            <v>ITALIA</v>
          </cell>
          <cell r="J669" t="str">
            <v>339-1052062</v>
          </cell>
        </row>
        <row r="670">
          <cell r="B670">
            <v>3507</v>
          </cell>
          <cell r="C670" t="str">
            <v>COFFESTORE DI  CANU ALBERTO</v>
          </cell>
          <cell r="D670" t="str">
            <v>06633220964 CNALRT67H06B354 D</v>
          </cell>
          <cell r="E670" t="str">
            <v>PIAZZA 5 GIORNATE, 16</v>
          </cell>
          <cell r="F670">
            <v>20081</v>
          </cell>
          <cell r="G670" t="str">
            <v>ABBIATEGRASSO</v>
          </cell>
          <cell r="H670" t="str">
            <v>MI</v>
          </cell>
          <cell r="I670" t="str">
            <v>ITALIA</v>
          </cell>
          <cell r="J670" t="str">
            <v>340-4612039</v>
          </cell>
        </row>
        <row r="671">
          <cell r="B671">
            <v>2623</v>
          </cell>
          <cell r="C671" t="str">
            <v>COFFIPLANET S.R.L.</v>
          </cell>
          <cell r="D671" t="str">
            <v>12518660159 12518660159</v>
          </cell>
          <cell r="E671" t="str">
            <v>VIA EUROPA, 27/29</v>
          </cell>
          <cell r="F671">
            <v>20089</v>
          </cell>
          <cell r="G671" t="str">
            <v>ROZZANO</v>
          </cell>
          <cell r="H671" t="str">
            <v>MI</v>
          </cell>
          <cell r="I671" t="str">
            <v>ITALIA</v>
          </cell>
          <cell r="J671" t="str">
            <v>02-57506526</v>
          </cell>
        </row>
        <row r="672">
          <cell r="B672">
            <v>2782</v>
          </cell>
          <cell r="C672" t="str">
            <v>COFFYGEST S.R. L.</v>
          </cell>
          <cell r="D672" t="str">
            <v>09402760012 09402760012</v>
          </cell>
          <cell r="E672" t="str">
            <v>VIA VERGA, 28 BIS</v>
          </cell>
          <cell r="F672">
            <v>10036</v>
          </cell>
          <cell r="G672" t="str">
            <v>SETTIMO  TORINESE</v>
          </cell>
          <cell r="H672" t="str">
            <v>TO</v>
          </cell>
          <cell r="I672" t="str">
            <v>ITALIA</v>
          </cell>
          <cell r="J672" t="str">
            <v>011-0463422</v>
          </cell>
        </row>
        <row r="673">
          <cell r="B673">
            <v>6619</v>
          </cell>
          <cell r="C673" t="str">
            <v>COFFYSTORE  VENDING DI FEMIA  MARCO</v>
          </cell>
          <cell r="D673" t="str">
            <v>11900400018 FMEMRC93S12L219 G</v>
          </cell>
          <cell r="E673" t="str">
            <v>VIA ROSAZZA, 2</v>
          </cell>
          <cell r="F673">
            <v>10153</v>
          </cell>
          <cell r="G673" t="str">
            <v>TORINO</v>
          </cell>
          <cell r="H673" t="str">
            <v>TO</v>
          </cell>
          <cell r="I673" t="str">
            <v>ITALIA</v>
          </cell>
          <cell r="J673" t="str">
            <v>366-3141215</v>
          </cell>
        </row>
        <row r="674">
          <cell r="B674">
            <v>6622</v>
          </cell>
          <cell r="C674" t="str">
            <v>COFFYSTORE MATIK  DI DESIRÉE D' ANGELO</v>
          </cell>
          <cell r="D674" t="str">
            <v>11899350018 DNGDSR89L66L219 C</v>
          </cell>
          <cell r="E674" t="str">
            <v>VIA PRALAFERA, 20</v>
          </cell>
          <cell r="F674">
            <v>10062</v>
          </cell>
          <cell r="G674" t="str">
            <v>LUSERNA SAN  GIOVANNI</v>
          </cell>
          <cell r="H674" t="str">
            <v>TO</v>
          </cell>
          <cell r="I674" t="str">
            <v>ITALIA</v>
          </cell>
          <cell r="J674" t="str">
            <v xml:space="preserve">340-7396716 </v>
          </cell>
        </row>
        <row r="675">
          <cell r="B675">
            <v>5913</v>
          </cell>
          <cell r="C675" t="str">
            <v>COFIFAST S.R.L.</v>
          </cell>
          <cell r="D675" t="str">
            <v>10047480156 10047480156</v>
          </cell>
          <cell r="E675" t="str">
            <v>VIA DUCHESSA JOLANDA,  38</v>
          </cell>
          <cell r="F675">
            <v>10138</v>
          </cell>
          <cell r="G675" t="str">
            <v>TORINO</v>
          </cell>
          <cell r="H675" t="str">
            <v>TO</v>
          </cell>
          <cell r="I675" t="str">
            <v>ITALIA</v>
          </cell>
          <cell r="J675" t="str">
            <v xml:space="preserve">011-9509042 </v>
          </cell>
        </row>
        <row r="676">
          <cell r="B676">
            <v>6988</v>
          </cell>
          <cell r="C676" t="str">
            <v>COFILAB DI  GIACOMO BESSONE</v>
          </cell>
          <cell r="D676" t="str">
            <v>11959800019</v>
          </cell>
          <cell r="E676" t="str">
            <v>P.ZZA GARELLE, 1</v>
          </cell>
          <cell r="F676">
            <v>10092</v>
          </cell>
          <cell r="G676" t="str">
            <v>BEINASCO</v>
          </cell>
          <cell r="H676" t="str">
            <v>TO</v>
          </cell>
          <cell r="I676" t="str">
            <v>ITALIA</v>
          </cell>
          <cell r="J676" t="str">
            <v xml:space="preserve">011-4177952 </v>
          </cell>
        </row>
        <row r="677">
          <cell r="B677">
            <v>583</v>
          </cell>
          <cell r="C677" t="str">
            <v>COGES S.P.A.</v>
          </cell>
          <cell r="D677" t="str">
            <v>00527790240 00527790240</v>
          </cell>
          <cell r="E677" t="str">
            <v>VIA LUIGI DALLA VIA, 10</v>
          </cell>
          <cell r="F677">
            <v>36015</v>
          </cell>
          <cell r="G677" t="str">
            <v>SCHIO</v>
          </cell>
          <cell r="H677" t="str">
            <v>VI</v>
          </cell>
          <cell r="I677" t="str">
            <v>ITALIA</v>
          </cell>
          <cell r="J677" t="str">
            <v>0445-502811</v>
          </cell>
        </row>
        <row r="678">
          <cell r="B678">
            <v>7533</v>
          </cell>
          <cell r="C678" t="str">
            <v>COGNEIN TIZIANA</v>
          </cell>
          <cell r="D678" t="str">
            <v>CGNTZN56R45A326 Y</v>
          </cell>
          <cell r="E678" t="str">
            <v>FRAZIONE LE JUNOD, 3</v>
          </cell>
          <cell r="F678">
            <v>11010</v>
          </cell>
          <cell r="G678" t="str">
            <v>INTROD</v>
          </cell>
          <cell r="H678" t="str">
            <v>AO</v>
          </cell>
          <cell r="I678" t="str">
            <v>ITALIA</v>
          </cell>
          <cell r="J678" t="str">
            <v>340-3715620</v>
          </cell>
        </row>
        <row r="679">
          <cell r="B679">
            <v>7106</v>
          </cell>
          <cell r="C679" t="str">
            <v>COLBACHINI PAOLO</v>
          </cell>
          <cell r="D679" t="str">
            <v>LDNPLA62T09G224 Q</v>
          </cell>
          <cell r="E679" t="str">
            <v>VIA MATTEI, 5</v>
          </cell>
          <cell r="F679">
            <v>35030</v>
          </cell>
          <cell r="G679" t="str">
            <v>SACCOLOGNO</v>
          </cell>
          <cell r="H679" t="str">
            <v>PD</v>
          </cell>
          <cell r="I679" t="str">
            <v>ITALIA</v>
          </cell>
          <cell r="J679" t="str">
            <v>335-6778050</v>
          </cell>
        </row>
        <row r="680">
          <cell r="B680">
            <v>3490</v>
          </cell>
          <cell r="C680" t="str">
            <v>COLFER SHOP DI  DELLA VALLE  RENATA</v>
          </cell>
          <cell r="D680" t="str">
            <v>10047320014 DLLRNT76H67L219X</v>
          </cell>
          <cell r="E680" t="str">
            <v>VIA BIOGLIO, 19</v>
          </cell>
          <cell r="F680">
            <v>10154</v>
          </cell>
          <cell r="G680" t="str">
            <v>TORINO</v>
          </cell>
          <cell r="H680" t="str">
            <v>TO</v>
          </cell>
          <cell r="I680" t="str">
            <v>ITALIA</v>
          </cell>
          <cell r="J680" t="str">
            <v>011-2205777</v>
          </cell>
        </row>
        <row r="681">
          <cell r="B681">
            <v>4022</v>
          </cell>
          <cell r="C681" t="str">
            <v>COLIZZI VINI S.N.C.</v>
          </cell>
          <cell r="D681" t="str">
            <v>00886630961 08009750152</v>
          </cell>
          <cell r="E681" t="str">
            <v>VIA PIAVE, 13</v>
          </cell>
          <cell r="F681">
            <v>20900</v>
          </cell>
          <cell r="G681" t="str">
            <v>MONZA</v>
          </cell>
          <cell r="H681" t="str">
            <v>MB</v>
          </cell>
          <cell r="I681" t="str">
            <v>ITALIA</v>
          </cell>
          <cell r="J681" t="str">
            <v>366-1783622</v>
          </cell>
        </row>
        <row r="682">
          <cell r="B682">
            <v>7112</v>
          </cell>
          <cell r="C682" t="str">
            <v>COLOMBI VERONICA</v>
          </cell>
          <cell r="D682" t="str">
            <v>CLMVNC71D50L424 J</v>
          </cell>
          <cell r="E682" t="str">
            <v>VIA DELLA CONCA  FIORITA, 28</v>
          </cell>
          <cell r="F682">
            <v>24123</v>
          </cell>
          <cell r="G682" t="str">
            <v>BERGAMO</v>
          </cell>
          <cell r="H682" t="str">
            <v>BG</v>
          </cell>
          <cell r="I682" t="str">
            <v>ITALIA</v>
          </cell>
          <cell r="J682" t="str">
            <v>035 606 542</v>
          </cell>
        </row>
        <row r="683">
          <cell r="B683">
            <v>1649</v>
          </cell>
          <cell r="C683" t="str">
            <v>COLOMBO GIOVANNI</v>
          </cell>
          <cell r="D683" t="str">
            <v>01747670030 CLMGNN79P13I819 D</v>
          </cell>
          <cell r="E683" t="str">
            <v>VIA MATTEOTTI, 1/E</v>
          </cell>
          <cell r="F683">
            <v>28040</v>
          </cell>
          <cell r="G683" t="str">
            <v>POMBIA</v>
          </cell>
          <cell r="H683" t="str">
            <v>NO</v>
          </cell>
          <cell r="I683" t="str">
            <v>ITALIA</v>
          </cell>
          <cell r="J683" t="str">
            <v>346-5925910</v>
          </cell>
        </row>
        <row r="684">
          <cell r="B684">
            <v>1578</v>
          </cell>
          <cell r="C684" t="str">
            <v>COLOMBO LUIGI</v>
          </cell>
          <cell r="D684" t="str">
            <v>CLMLPL58A20D869 D</v>
          </cell>
          <cell r="E684" t="str">
            <v>VIA FERRARIN, 10</v>
          </cell>
          <cell r="F684">
            <v>21019</v>
          </cell>
          <cell r="G684" t="str">
            <v>SOMMA  LOMBARDO</v>
          </cell>
          <cell r="H684" t="str">
            <v>VA</v>
          </cell>
          <cell r="I684" t="str">
            <v>ITALIA</v>
          </cell>
        </row>
        <row r="685">
          <cell r="B685">
            <v>1868</v>
          </cell>
          <cell r="C685" t="str">
            <v>COLOMBO PIERA  ANTONELLA</v>
          </cell>
          <cell r="D685" t="str">
            <v>06567050155 CLMPNT58B64B301 C</v>
          </cell>
          <cell r="E685" t="str">
            <v>VIA CADAMOSTO, 2/A</v>
          </cell>
          <cell r="F685">
            <v>20020</v>
          </cell>
          <cell r="G685" t="str">
            <v>VILLA CORTESE</v>
          </cell>
          <cell r="H685" t="str">
            <v>MI</v>
          </cell>
          <cell r="I685" t="str">
            <v>ITALIA</v>
          </cell>
          <cell r="J685" t="str">
            <v>0331-568751</v>
          </cell>
        </row>
        <row r="686">
          <cell r="B686">
            <v>2397</v>
          </cell>
          <cell r="C686" t="str">
            <v>COLONNA GIUSEPPE</v>
          </cell>
          <cell r="D686" t="str">
            <v>02177230121 02177230121</v>
          </cell>
          <cell r="E686" t="str">
            <v>VIA MONTELEONE, 43</v>
          </cell>
          <cell r="F686">
            <v>21013</v>
          </cell>
          <cell r="G686" t="str">
            <v>GALLARATE</v>
          </cell>
          <cell r="H686" t="str">
            <v>VA</v>
          </cell>
          <cell r="I686" t="str">
            <v>ITALIA</v>
          </cell>
        </row>
        <row r="687">
          <cell r="B687">
            <v>6857</v>
          </cell>
          <cell r="C687" t="str">
            <v>COLUMNA IG S.R.L.  UNIPERSONALE</v>
          </cell>
          <cell r="D687" t="str">
            <v>01506330057</v>
          </cell>
          <cell r="E687" t="str">
            <v>VIA BOITO, 10</v>
          </cell>
          <cell r="F687">
            <v>14100</v>
          </cell>
          <cell r="G687" t="str">
            <v>ASTI</v>
          </cell>
          <cell r="H687" t="str">
            <v>TO</v>
          </cell>
          <cell r="I687" t="str">
            <v>ITALIA</v>
          </cell>
          <cell r="J687" t="str">
            <v>339-5235688</v>
          </cell>
        </row>
        <row r="688">
          <cell r="B688">
            <v>6623</v>
          </cell>
          <cell r="C688" t="str">
            <v>COMAR LAB S.R.L.</v>
          </cell>
          <cell r="D688" t="str">
            <v>10142080968 10142080968</v>
          </cell>
          <cell r="E688" t="str">
            <v>VIA PARINI, 27</v>
          </cell>
          <cell r="F688">
            <v>20064</v>
          </cell>
          <cell r="G688" t="str">
            <v>GORGONZOLA</v>
          </cell>
          <cell r="H688" t="str">
            <v>MI</v>
          </cell>
          <cell r="I688" t="str">
            <v>ITALIA</v>
          </cell>
          <cell r="J688" t="str">
            <v>348-4518632</v>
          </cell>
        </row>
        <row r="689">
          <cell r="B689">
            <v>7239</v>
          </cell>
          <cell r="C689" t="str">
            <v>COMIOTTO SERGIO  FLORIS</v>
          </cell>
          <cell r="D689" t="str">
            <v>CMTSGF68S02F205 C</v>
          </cell>
          <cell r="E689" t="str">
            <v>VIA SCOLARI 56</v>
          </cell>
          <cell r="F689">
            <v>27020</v>
          </cell>
          <cell r="G689" t="str">
            <v>TROVO</v>
          </cell>
          <cell r="H689" t="str">
            <v>PV</v>
          </cell>
          <cell r="I689" t="str">
            <v>ITALIA</v>
          </cell>
          <cell r="J689" t="str">
            <v>347-0191671</v>
          </cell>
        </row>
        <row r="690">
          <cell r="B690">
            <v>4571</v>
          </cell>
          <cell r="C690" t="str">
            <v>COMITATO  RICREATIVO</v>
          </cell>
          <cell r="D690" t="str">
            <v>94559980019</v>
          </cell>
          <cell r="E690" t="str">
            <v>PIAZZA SAN GERMANO, 4</v>
          </cell>
          <cell r="F690">
            <v>10060</v>
          </cell>
          <cell r="G690" t="str">
            <v>CAMPIGLIONE  FENILE</v>
          </cell>
          <cell r="H690" t="str">
            <v>TO</v>
          </cell>
          <cell r="I690" t="str">
            <v>ITALIA</v>
          </cell>
        </row>
        <row r="691">
          <cell r="B691">
            <v>6614</v>
          </cell>
          <cell r="C691" t="str">
            <v>COMMENDATORE  MANUELA</v>
          </cell>
          <cell r="D691" t="str">
            <v>03604260129 CMMMNL81M51C35 1F</v>
          </cell>
          <cell r="E691" t="str">
            <v>VIA MADONNINA, 24</v>
          </cell>
          <cell r="F691">
            <v>21050</v>
          </cell>
          <cell r="G691" t="str">
            <v>CAIRATE</v>
          </cell>
          <cell r="H691" t="str">
            <v>VA</v>
          </cell>
          <cell r="I691" t="str">
            <v>ITALIA</v>
          </cell>
          <cell r="J691" t="str">
            <v>329-3764475</v>
          </cell>
        </row>
        <row r="692">
          <cell r="B692">
            <v>6916</v>
          </cell>
          <cell r="C692" t="str">
            <v>COMMERCIALE  DELBALZO &amp; C. SAS</v>
          </cell>
          <cell r="D692" t="str">
            <v>00834700098 00834700098</v>
          </cell>
          <cell r="E692" t="str">
            <v>VIA AURELIA, 490</v>
          </cell>
          <cell r="F692">
            <v>17025</v>
          </cell>
          <cell r="G692" t="str">
            <v>LOANO</v>
          </cell>
          <cell r="H692" t="str">
            <v>SV</v>
          </cell>
          <cell r="I692" t="str">
            <v>ITALIA</v>
          </cell>
          <cell r="J692" t="str">
            <v>019-672491</v>
          </cell>
        </row>
        <row r="693">
          <cell r="B693">
            <v>5388</v>
          </cell>
          <cell r="C693" t="str">
            <v>COMMERCIALE  OCEANO INDIANO S. R.L.</v>
          </cell>
          <cell r="D693" t="str">
            <v>01354260067 01354260067</v>
          </cell>
          <cell r="E693" t="str">
            <v>PIAZZA AMBROSOLI, 13</v>
          </cell>
          <cell r="F693">
            <v>15100</v>
          </cell>
          <cell r="G693" t="str">
            <v>ALESSANDRIA</v>
          </cell>
          <cell r="H693" t="str">
            <v>AL</v>
          </cell>
          <cell r="I693" t="str">
            <v>ITALIA</v>
          </cell>
          <cell r="J693" t="str">
            <v>0131-1950779</v>
          </cell>
        </row>
        <row r="694">
          <cell r="B694">
            <v>4818</v>
          </cell>
          <cell r="C694" t="str">
            <v>COMOLI  MASSIMILIANO</v>
          </cell>
          <cell r="D694" t="str">
            <v>CMLMSM71P14L746 F</v>
          </cell>
          <cell r="E694" t="str">
            <v>VIA CANTONACCIO, 1</v>
          </cell>
          <cell r="F694">
            <v>28838</v>
          </cell>
          <cell r="G694" t="str">
            <v>BAVENO</v>
          </cell>
          <cell r="H694" t="str">
            <v>VB</v>
          </cell>
          <cell r="I694" t="str">
            <v>ITALIA</v>
          </cell>
          <cell r="J694" t="str">
            <v>335-6842010</v>
          </cell>
        </row>
        <row r="695">
          <cell r="B695">
            <v>4852</v>
          </cell>
          <cell r="C695" t="str">
            <v>COMPASS-GROUP  ITALIA S.P.A.</v>
          </cell>
          <cell r="D695" t="str">
            <v>02979410152 02979410152</v>
          </cell>
          <cell r="E695" t="str">
            <v>VIA ANGELO  SCARSELLINI, 14</v>
          </cell>
          <cell r="F695">
            <v>20100</v>
          </cell>
          <cell r="G695" t="str">
            <v>MILANO</v>
          </cell>
          <cell r="H695" t="str">
            <v>MI</v>
          </cell>
          <cell r="I695" t="str">
            <v>ITALIA</v>
          </cell>
          <cell r="J695" t="str">
            <v>02-480531</v>
          </cell>
        </row>
        <row r="696">
          <cell r="B696">
            <v>4169</v>
          </cell>
          <cell r="C696" t="str">
            <v>COMPONENTI  VENDING S.P.A.</v>
          </cell>
          <cell r="D696" t="str">
            <v>10171330151 10171330151</v>
          </cell>
          <cell r="E696" t="str">
            <v>VIA E. MATTEI  SNC</v>
          </cell>
          <cell r="F696">
            <v>27022</v>
          </cell>
          <cell r="G696" t="str">
            <v>CASORATE  PRIMO</v>
          </cell>
          <cell r="H696" t="str">
            <v>PV</v>
          </cell>
          <cell r="I696" t="str">
            <v>ITALIA</v>
          </cell>
          <cell r="J696" t="str">
            <v>02-90849637</v>
          </cell>
        </row>
        <row r="697">
          <cell r="B697">
            <v>3567</v>
          </cell>
          <cell r="C697" t="str">
            <v>COMPUBAR FAMILY  S.A.S.</v>
          </cell>
          <cell r="D697" t="str">
            <v>02265770061 02265770061</v>
          </cell>
          <cell r="E697" t="str">
            <v>CORSO VALENTINO, 169  BIS</v>
          </cell>
          <cell r="F697">
            <v>15033</v>
          </cell>
          <cell r="G697" t="str">
            <v>CASALE  MONFERRATO</v>
          </cell>
          <cell r="H697" t="str">
            <v>AL</v>
          </cell>
          <cell r="I697" t="str">
            <v>ITALIA</v>
          </cell>
          <cell r="J697" t="str">
            <v>0142-77886</v>
          </cell>
        </row>
        <row r="698">
          <cell r="B698">
            <v>4455</v>
          </cell>
          <cell r="C698" t="str">
            <v>COMUNETTI FABIO</v>
          </cell>
          <cell r="D698" t="str">
            <v>CMNFBA63L15L682 N</v>
          </cell>
          <cell r="E698" t="str">
            <v>VIA MAINO, 1</v>
          </cell>
          <cell r="F698">
            <v>21012</v>
          </cell>
          <cell r="G698" t="str">
            <v>CASSANO  MAGNAGO</v>
          </cell>
          <cell r="H698" t="str">
            <v>VA</v>
          </cell>
          <cell r="I698" t="str">
            <v>ITALIA</v>
          </cell>
          <cell r="J698" t="str">
            <v>347-2355986</v>
          </cell>
        </row>
        <row r="699">
          <cell r="B699">
            <v>7257</v>
          </cell>
          <cell r="C699" t="str">
            <v>CONFORTO MARIO</v>
          </cell>
          <cell r="D699" t="str">
            <v>CNFMRA75A19D643 V</v>
          </cell>
          <cell r="E699" t="str">
            <v>VIA ALDO MORO 46 INT. B</v>
          </cell>
          <cell r="F699">
            <v>71036</v>
          </cell>
          <cell r="G699" t="str">
            <v>LUCERA</v>
          </cell>
          <cell r="H699" t="str">
            <v>FG</v>
          </cell>
          <cell r="I699" t="str">
            <v>ITALIA</v>
          </cell>
          <cell r="J699" t="str">
            <v>348-8826350</v>
          </cell>
        </row>
        <row r="700">
          <cell r="B700">
            <v>5498</v>
          </cell>
          <cell r="C700" t="str">
            <v>CONG. SUORE CARMELITANE P.TO S. GIUSEPPE</v>
          </cell>
          <cell r="D700" t="str">
            <v>01113200016 01113200016</v>
          </cell>
          <cell r="E700" t="str">
            <v>CORSO FARINI, 26</v>
          </cell>
          <cell r="F700">
            <v>10153</v>
          </cell>
          <cell r="G700" t="str">
            <v>TORINO</v>
          </cell>
          <cell r="H700" t="str">
            <v>TO</v>
          </cell>
          <cell r="I700" t="str">
            <v>ITALIA</v>
          </cell>
          <cell r="J700" t="str">
            <v>011-8173222</v>
          </cell>
        </row>
        <row r="701">
          <cell r="B701">
            <v>5298</v>
          </cell>
          <cell r="C701" t="str">
            <v>CONGREGAZIONE  BETANIA DEL  SACRO CUORE</v>
          </cell>
          <cell r="D701" t="str">
            <v>84000430011</v>
          </cell>
          <cell r="E701" t="str">
            <v>VIA LAMARMORA, 31</v>
          </cell>
          <cell r="F701">
            <v>10030</v>
          </cell>
          <cell r="G701" t="str">
            <v>VISCHE</v>
          </cell>
          <cell r="H701" t="str">
            <v>TO</v>
          </cell>
          <cell r="I701" t="str">
            <v>ITALIA</v>
          </cell>
          <cell r="J701" t="str">
            <v xml:space="preserve">011-9837502 </v>
          </cell>
        </row>
        <row r="702">
          <cell r="B702">
            <v>6669</v>
          </cell>
          <cell r="C702" t="str">
            <v>CONGREGAZIONE MISSIONARIA SORELLA DI SANTA GEMMA</v>
          </cell>
          <cell r="D702" t="str">
            <v>00463660464 00463660464</v>
          </cell>
          <cell r="E702" t="str">
            <v>VIA DALLA CHIESA, 1</v>
          </cell>
          <cell r="F702">
            <v>55010</v>
          </cell>
          <cell r="G702" t="str">
            <v>CAMIGLIANO</v>
          </cell>
          <cell r="H702" t="str">
            <v>LU</v>
          </cell>
          <cell r="I702" t="str">
            <v>ITALIA</v>
          </cell>
          <cell r="J702" t="str">
            <v>334-3065608</v>
          </cell>
        </row>
        <row r="703">
          <cell r="B703">
            <v>5190</v>
          </cell>
          <cell r="C703" t="str">
            <v>CONGREGAZIONE S. C.I.C.</v>
          </cell>
          <cell r="D703" t="str">
            <v>01093191003</v>
          </cell>
          <cell r="E703" t="str">
            <v>VIA DELLA RENELLA, 85</v>
          </cell>
          <cell r="F703">
            <v>153</v>
          </cell>
          <cell r="G703" t="str">
            <v>ROMA</v>
          </cell>
          <cell r="H703" t="str">
            <v>RM</v>
          </cell>
          <cell r="I703" t="str">
            <v>ITALIA</v>
          </cell>
        </row>
        <row r="704">
          <cell r="B704">
            <v>7267</v>
          </cell>
          <cell r="C704" t="str">
            <v>CONSONNI VANNI</v>
          </cell>
          <cell r="D704" t="str">
            <v>CNSVNN60P26F878 N</v>
          </cell>
          <cell r="E704" t="str">
            <v>VIA ERNESTO RUBINO 7</v>
          </cell>
          <cell r="F704">
            <v>13896</v>
          </cell>
          <cell r="G704" t="str">
            <v>NETRO</v>
          </cell>
          <cell r="H704" t="str">
            <v>BI</v>
          </cell>
          <cell r="I704" t="str">
            <v>ITALIA</v>
          </cell>
          <cell r="J704" t="str">
            <v>338-4990003</v>
          </cell>
        </row>
        <row r="705">
          <cell r="B705">
            <v>2243</v>
          </cell>
          <cell r="C705" t="str">
            <v>CONSORZIO LA VALDOCCO SOCIETA' COOP. SOC.</v>
          </cell>
          <cell r="D705" t="str">
            <v>05870620019</v>
          </cell>
          <cell r="E705" t="str">
            <v>VIA LE CHIUSE, 59</v>
          </cell>
          <cell r="F705">
            <v>10144</v>
          </cell>
          <cell r="G705" t="str">
            <v>TORINO</v>
          </cell>
          <cell r="H705" t="str">
            <v>TO</v>
          </cell>
          <cell r="I705" t="str">
            <v>ITALIA</v>
          </cell>
          <cell r="J705" t="str">
            <v>011-4359222</v>
          </cell>
        </row>
        <row r="706">
          <cell r="B706">
            <v>7253</v>
          </cell>
          <cell r="C706" t="str">
            <v>CONTERNO RITA</v>
          </cell>
          <cell r="D706" t="str">
            <v>CNTRTI72L55L219U</v>
          </cell>
          <cell r="E706" t="str">
            <v>VIA VITTIME DEL VAJONT  6</v>
          </cell>
          <cell r="F706">
            <v>10024</v>
          </cell>
          <cell r="G706" t="str">
            <v>MONCALIERI</v>
          </cell>
          <cell r="H706" t="str">
            <v>TO</v>
          </cell>
          <cell r="I706" t="str">
            <v>ITALIA</v>
          </cell>
          <cell r="J706" t="str">
            <v>338-8782057</v>
          </cell>
        </row>
        <row r="707">
          <cell r="B707">
            <v>7105</v>
          </cell>
          <cell r="C707" t="str">
            <v>COOFEE &amp; SNACK  SAGL</v>
          </cell>
          <cell r="D707" t="str">
            <v>271843390</v>
          </cell>
          <cell r="E707" t="str">
            <v>VIA STELLA, 13</v>
          </cell>
          <cell r="F707">
            <v>6850</v>
          </cell>
          <cell r="G707" t="str">
            <v>MENDRISIO -  SVIZZERA -</v>
          </cell>
          <cell r="I707" t="str">
            <v>SVIZZERA</v>
          </cell>
          <cell r="J707" t="str">
            <v>0041- 764618412</v>
          </cell>
        </row>
        <row r="708">
          <cell r="B708">
            <v>4958</v>
          </cell>
          <cell r="C708" t="str">
            <v>COOPERATIVA  SOCIALE 3 E 60</v>
          </cell>
          <cell r="D708" t="str">
            <v>09126720011 09126720011</v>
          </cell>
          <cell r="E708" t="str">
            <v>C.SO VINZAGLIO, 5</v>
          </cell>
          <cell r="F708">
            <v>10121</v>
          </cell>
          <cell r="G708" t="str">
            <v>TORINO</v>
          </cell>
          <cell r="H708" t="str">
            <v>TO</v>
          </cell>
          <cell r="I708" t="str">
            <v>ITALIA</v>
          </cell>
          <cell r="J708" t="str">
            <v>340-1497787</v>
          </cell>
        </row>
        <row r="709">
          <cell r="B709">
            <v>6675</v>
          </cell>
          <cell r="C709" t="str">
            <v>COOPERATIVA  SOCIALE INVOLO</v>
          </cell>
          <cell r="D709" t="str">
            <v>23939 23939</v>
          </cell>
          <cell r="E709" t="str">
            <v>VIA MAGNOLIA, 4</v>
          </cell>
          <cell r="F709">
            <v>47895</v>
          </cell>
          <cell r="G709" t="str">
            <v>DOMAGNANO</v>
          </cell>
          <cell r="I709" t="str">
            <v>SAN MARINO</v>
          </cell>
          <cell r="J709" t="str">
            <v xml:space="preserve">0549-900582 </v>
          </cell>
        </row>
        <row r="710">
          <cell r="B710">
            <v>3544</v>
          </cell>
          <cell r="C710" t="str">
            <v>COOPERATIVA  SOCIALE SANTA  RITA SCS</v>
          </cell>
          <cell r="D710" t="str">
            <v>09149420011 09149420011</v>
          </cell>
          <cell r="E710" t="str">
            <v>CORSO GIAMBONE, 63</v>
          </cell>
          <cell r="F710">
            <v>10100</v>
          </cell>
          <cell r="G710" t="str">
            <v>TORINO</v>
          </cell>
          <cell r="I710" t="str">
            <v>ITALIA</v>
          </cell>
          <cell r="J710" t="str">
            <v>347-4481359</v>
          </cell>
        </row>
        <row r="711">
          <cell r="B711">
            <v>4658</v>
          </cell>
          <cell r="C711" t="str">
            <v>COPIELLO GIANLUCA</v>
          </cell>
          <cell r="D711" t="str">
            <v>02556470025 CPLGLC71R03A859 K</v>
          </cell>
          <cell r="E711" t="str">
            <v>VIA. Q. SELLA , 68</v>
          </cell>
          <cell r="F711">
            <v>13836</v>
          </cell>
          <cell r="G711" t="str">
            <v>COSSATO</v>
          </cell>
          <cell r="H711" t="str">
            <v>BI</v>
          </cell>
          <cell r="I711" t="str">
            <v>ITALIA</v>
          </cell>
          <cell r="J711" t="str">
            <v>338-4046992</v>
          </cell>
        </row>
        <row r="712">
          <cell r="B712">
            <v>4702</v>
          </cell>
          <cell r="C712" t="str">
            <v>COPPOLA SIMONE</v>
          </cell>
          <cell r="D712" t="str">
            <v>02479200061 CPPSMN84E05B885 C</v>
          </cell>
          <cell r="E712" t="str">
            <v>VIA RAFFALDI, 13</v>
          </cell>
          <cell r="F712">
            <v>15027</v>
          </cell>
          <cell r="G712" t="str">
            <v>PONTESTURA</v>
          </cell>
          <cell r="H712" t="str">
            <v>AL</v>
          </cell>
          <cell r="I712" t="str">
            <v>ITALIA</v>
          </cell>
          <cell r="J712" t="str">
            <v>333-7418329</v>
          </cell>
        </row>
        <row r="713">
          <cell r="B713">
            <v>6634</v>
          </cell>
          <cell r="C713" t="str">
            <v>CORA' SILVIA</v>
          </cell>
          <cell r="D713" t="str">
            <v>02685280188 CROSLV75R69L872 T</v>
          </cell>
          <cell r="E713" t="str">
            <v>VIA BINASCO, 23</v>
          </cell>
          <cell r="F713">
            <v>27029</v>
          </cell>
          <cell r="G713" t="str">
            <v>VIGEVANO</v>
          </cell>
          <cell r="H713" t="str">
            <v>PV</v>
          </cell>
          <cell r="I713" t="str">
            <v>ITALIA</v>
          </cell>
          <cell r="J713" t="str">
            <v>339-3636662</v>
          </cell>
        </row>
        <row r="714">
          <cell r="B714">
            <v>7528</v>
          </cell>
          <cell r="C714" t="str">
            <v>CORASANITI  ANTONIO</v>
          </cell>
          <cell r="D714" t="str">
            <v>CRSNTN77C02H264 F</v>
          </cell>
          <cell r="E714" t="str">
            <v>VIA MANZONI, 27</v>
          </cell>
          <cell r="F714">
            <v>88060</v>
          </cell>
          <cell r="G714" t="str">
            <v>SAN SOSTENE</v>
          </cell>
          <cell r="H714" t="str">
            <v>CZ</v>
          </cell>
          <cell r="I714" t="str">
            <v>ITALIA</v>
          </cell>
          <cell r="J714" t="str">
            <v>391 754 2592</v>
          </cell>
        </row>
        <row r="715">
          <cell r="B715">
            <v>7418</v>
          </cell>
          <cell r="C715" t="str">
            <v>CORCOZ ANDA</v>
          </cell>
          <cell r="D715" t="str">
            <v>11553540961 CRCNDA75A59Z129 O</v>
          </cell>
          <cell r="E715" t="str">
            <v>VIA VINCENZO GIOBERTI, 25</v>
          </cell>
          <cell r="F715">
            <v>20099</v>
          </cell>
          <cell r="G715" t="str">
            <v>SESTO SAN  GIOVANNI</v>
          </cell>
          <cell r="H715" t="str">
            <v>MI</v>
          </cell>
          <cell r="I715" t="str">
            <v>ITALIA</v>
          </cell>
          <cell r="J715" t="str">
            <v>327-2679917</v>
          </cell>
        </row>
        <row r="716">
          <cell r="B716">
            <v>6422</v>
          </cell>
          <cell r="C716" t="str">
            <v>CORIGLIANO  MASSIMILIANO</v>
          </cell>
          <cell r="D716" t="str">
            <v>09551780969 CRGMSM75R14E514 K</v>
          </cell>
          <cell r="E716" t="str">
            <v>VIA CADORNA, 25</v>
          </cell>
          <cell r="F716">
            <v>20020</v>
          </cell>
          <cell r="G716" t="str">
            <v>BUSTO GAROLFO</v>
          </cell>
          <cell r="H716" t="str">
            <v>MI</v>
          </cell>
          <cell r="I716" t="str">
            <v>ITALIA</v>
          </cell>
          <cell r="J716" t="str">
            <v>328-1033251</v>
          </cell>
        </row>
        <row r="717">
          <cell r="B717">
            <v>6771</v>
          </cell>
          <cell r="C717" t="str">
            <v>CORONA MARINELLA</v>
          </cell>
          <cell r="D717" t="str">
            <v>02601440023 CRNMNL60B51L436 N</v>
          </cell>
          <cell r="E717" t="str">
            <v>VIA TASSO, 89</v>
          </cell>
          <cell r="F717">
            <v>13012</v>
          </cell>
          <cell r="G717" t="str">
            <v>BORGO  VERCELLI</v>
          </cell>
          <cell r="H717" t="str">
            <v>VC</v>
          </cell>
          <cell r="I717" t="str">
            <v>ITALIA</v>
          </cell>
          <cell r="J717" t="str">
            <v>0161-32573</v>
          </cell>
        </row>
        <row r="718">
          <cell r="B718">
            <v>6708</v>
          </cell>
          <cell r="C718" t="str">
            <v>CORPSERVICE S.R.L.</v>
          </cell>
          <cell r="D718" t="str">
            <v>05784200965 05784200965</v>
          </cell>
          <cell r="E718" t="str">
            <v>VIA APPIANI, 18</v>
          </cell>
          <cell r="F718">
            <v>20092</v>
          </cell>
          <cell r="G718" t="str">
            <v>CINISELLO  BALSAMO</v>
          </cell>
          <cell r="H718" t="str">
            <v>MI</v>
          </cell>
          <cell r="I718" t="str">
            <v>ITALIA</v>
          </cell>
          <cell r="J718" t="str">
            <v>347-2209995</v>
          </cell>
        </row>
        <row r="719">
          <cell r="B719">
            <v>7214</v>
          </cell>
          <cell r="C719" t="str">
            <v>CORRICELLI MATTEO</v>
          </cell>
          <cell r="D719" t="str">
            <v>CRRMTT81D13H926 Z</v>
          </cell>
          <cell r="E719" t="str">
            <v>PIANO DI BIBOLA 27</v>
          </cell>
          <cell r="F719">
            <v>98073</v>
          </cell>
          <cell r="G719" t="str">
            <v>AULLA</v>
          </cell>
          <cell r="H719" t="str">
            <v>MS</v>
          </cell>
          <cell r="I719" t="str">
            <v>ITALIA</v>
          </cell>
          <cell r="J719" t="str">
            <v>345-3397403</v>
          </cell>
        </row>
        <row r="720">
          <cell r="B720">
            <v>7116</v>
          </cell>
          <cell r="C720" t="str">
            <v>CORSI URANO  MAURO</v>
          </cell>
          <cell r="D720" t="str">
            <v>CRSRMR49S28G999 M</v>
          </cell>
          <cell r="E720" t="str">
            <v>VIA DE' SEI 15</v>
          </cell>
          <cell r="F720">
            <v>59100</v>
          </cell>
          <cell r="G720" t="str">
            <v>PRATO</v>
          </cell>
          <cell r="H720" t="str">
            <v>PO</v>
          </cell>
          <cell r="I720" t="str">
            <v>ITALIA</v>
          </cell>
          <cell r="J720" t="str">
            <v>339-4173888</v>
          </cell>
        </row>
        <row r="721">
          <cell r="B721">
            <v>7346</v>
          </cell>
          <cell r="C721" t="str">
            <v>CORTESE ANGELO</v>
          </cell>
          <cell r="D721" t="str">
            <v>02521060794</v>
          </cell>
          <cell r="E721" t="str">
            <v>CONTRADA POPARACE 70</v>
          </cell>
          <cell r="F721">
            <v>88064</v>
          </cell>
          <cell r="G721" t="str">
            <v>CHIARAVALLE  CENTRALE</v>
          </cell>
          <cell r="H721" t="str">
            <v>CZ</v>
          </cell>
          <cell r="I721" t="str">
            <v>ITALIA</v>
          </cell>
          <cell r="J721" t="str">
            <v>338-8858774</v>
          </cell>
        </row>
        <row r="722">
          <cell r="B722">
            <v>4346</v>
          </cell>
          <cell r="C722" t="str">
            <v>CORYCOFFEE DI  LUCIANO  SOTTOCORNOLA</v>
          </cell>
          <cell r="D722" t="str">
            <v>03850940168 STTLCN62T12B434 D</v>
          </cell>
          <cell r="E722" t="str">
            <v>VIA B. COLLEONI, 2</v>
          </cell>
          <cell r="F722">
            <v>24030</v>
          </cell>
          <cell r="G722" t="str">
            <v>MEDOLAGO</v>
          </cell>
          <cell r="H722" t="str">
            <v>BG</v>
          </cell>
          <cell r="I722" t="str">
            <v>ITALIA</v>
          </cell>
          <cell r="J722" t="str">
            <v>345-0248934</v>
          </cell>
        </row>
        <row r="723">
          <cell r="B723">
            <v>9079</v>
          </cell>
          <cell r="C723" t="str">
            <v>COSE BUONE S.R.L.</v>
          </cell>
          <cell r="E723" t="str">
            <v>VIA ROMA, 106/108</v>
          </cell>
          <cell r="F723">
            <v>4022</v>
          </cell>
          <cell r="G723" t="str">
            <v>FONDI</v>
          </cell>
          <cell r="H723" t="str">
            <v>LT</v>
          </cell>
          <cell r="I723" t="str">
            <v>ITALIA</v>
          </cell>
          <cell r="J723" t="str">
            <v>348-1282183</v>
          </cell>
        </row>
        <row r="724">
          <cell r="B724">
            <v>7054</v>
          </cell>
          <cell r="C724" t="str">
            <v>COSE DI CASA DI  LICO MAURIZIO</v>
          </cell>
          <cell r="D724" t="str">
            <v>03513970966</v>
          </cell>
          <cell r="E724" t="str">
            <v>PIAZZA RISORGIMENTO, 1</v>
          </cell>
          <cell r="F724">
            <v>20841</v>
          </cell>
          <cell r="G724" t="str">
            <v>CARATE  BRIANZA</v>
          </cell>
          <cell r="H724" t="str">
            <v>MB</v>
          </cell>
          <cell r="I724" t="str">
            <v>ITALIA</v>
          </cell>
          <cell r="J724" t="str">
            <v>389-8440984</v>
          </cell>
        </row>
        <row r="725">
          <cell r="B725">
            <v>6731</v>
          </cell>
          <cell r="C725" t="str">
            <v>COSSAVELLA  ANDREA</v>
          </cell>
          <cell r="D725" t="str">
            <v>11603050011 CSSNDR92L15L219 V</v>
          </cell>
          <cell r="E725" t="str">
            <v>VIA SERVAIS, 58</v>
          </cell>
          <cell r="F725">
            <v>10146</v>
          </cell>
          <cell r="G725" t="str">
            <v>TORINO</v>
          </cell>
          <cell r="H725" t="str">
            <v>TO</v>
          </cell>
          <cell r="I725" t="str">
            <v>ITALIA</v>
          </cell>
          <cell r="J725" t="str">
            <v>340-1168991</v>
          </cell>
        </row>
        <row r="726">
          <cell r="B726">
            <v>7221</v>
          </cell>
          <cell r="C726" t="str">
            <v>COSTA VALERIA</v>
          </cell>
          <cell r="D726" t="str">
            <v>CSTVLR85R66F205 Z</v>
          </cell>
          <cell r="E726" t="str">
            <v>VIA CRISTOFORO  COLOMBO, 21/3</v>
          </cell>
          <cell r="F726">
            <v>20881</v>
          </cell>
          <cell r="G726" t="str">
            <v>BERNAREGGIO</v>
          </cell>
          <cell r="H726" t="str">
            <v>MB</v>
          </cell>
          <cell r="I726" t="str">
            <v>ITALIA</v>
          </cell>
          <cell r="J726" t="str">
            <v>334-7080043</v>
          </cell>
        </row>
        <row r="727">
          <cell r="B727">
            <v>4445</v>
          </cell>
          <cell r="C727" t="str">
            <v>COSTADORO S.P.A.</v>
          </cell>
          <cell r="D727" t="str">
            <v>00703260018 00703260018</v>
          </cell>
          <cell r="E727" t="str">
            <v>LUNGO DORA COLLETTA,  113/6</v>
          </cell>
          <cell r="F727">
            <v>10153</v>
          </cell>
          <cell r="G727" t="str">
            <v>TORINO</v>
          </cell>
          <cell r="H727" t="str">
            <v>TO</v>
          </cell>
          <cell r="I727" t="str">
            <v>ITALIA</v>
          </cell>
          <cell r="J727" t="str">
            <v>011-2483804</v>
          </cell>
        </row>
        <row r="728">
          <cell r="B728">
            <v>7162</v>
          </cell>
          <cell r="C728" t="str">
            <v>COSTANTINI  SIMONETTA</v>
          </cell>
          <cell r="D728" t="str">
            <v>CSTSNT64C57C248 O</v>
          </cell>
          <cell r="E728" t="str">
            <v>VIA TIRABOSCHI 9</v>
          </cell>
          <cell r="F728">
            <v>60030</v>
          </cell>
          <cell r="G728" t="str">
            <v>MONTE ROBERTO</v>
          </cell>
          <cell r="H728" t="str">
            <v>AN</v>
          </cell>
          <cell r="I728" t="str">
            <v>ITALIA</v>
          </cell>
          <cell r="J728" t="str">
            <v>331-9786894</v>
          </cell>
        </row>
        <row r="729">
          <cell r="B729">
            <v>4597</v>
          </cell>
          <cell r="C729" t="str">
            <v>COSTIME S.R.L.</v>
          </cell>
          <cell r="D729" t="str">
            <v>01246290454 01246290454</v>
          </cell>
          <cell r="E729" t="str">
            <v>VIA MELARA, 1/D</v>
          </cell>
          <cell r="F729">
            <v>54035</v>
          </cell>
          <cell r="G729" t="str">
            <v>FOSDINOVO</v>
          </cell>
          <cell r="H729" t="str">
            <v>MS</v>
          </cell>
          <cell r="I729" t="str">
            <v>ITALIA</v>
          </cell>
          <cell r="J729" t="str">
            <v>0187-677518</v>
          </cell>
        </row>
        <row r="730">
          <cell r="B730">
            <v>7213</v>
          </cell>
          <cell r="C730" t="str">
            <v>COTTI COMETTINI  SABRINA</v>
          </cell>
          <cell r="D730" t="str">
            <v>CTTSRN89D56B041 I</v>
          </cell>
          <cell r="E730" t="str">
            <v>VIA GARIBALDI 34/B</v>
          </cell>
          <cell r="F730">
            <v>13864</v>
          </cell>
          <cell r="G730" t="str">
            <v>CREVACUORE</v>
          </cell>
          <cell r="H730" t="str">
            <v>BI</v>
          </cell>
          <cell r="I730" t="str">
            <v>ITALIA</v>
          </cell>
          <cell r="J730" t="str">
            <v>346-9543460</v>
          </cell>
        </row>
        <row r="731">
          <cell r="B731">
            <v>4797</v>
          </cell>
          <cell r="C731" t="str">
            <v>COTTINO CLAUDIO</v>
          </cell>
          <cell r="D731" t="str">
            <v>02516550049 CTTCLD67C05A124 U</v>
          </cell>
          <cell r="E731" t="str">
            <v>LOCALITA' ALTAVILLA, 60  BIS</v>
          </cell>
          <cell r="F731">
            <v>12051</v>
          </cell>
          <cell r="G731" t="str">
            <v>ALBA</v>
          </cell>
          <cell r="H731" t="str">
            <v>CN</v>
          </cell>
          <cell r="I731" t="str">
            <v>ITALIA</v>
          </cell>
          <cell r="J731" t="str">
            <v>324-8619363</v>
          </cell>
        </row>
        <row r="732">
          <cell r="B732">
            <v>3741</v>
          </cell>
          <cell r="C732" t="str">
            <v>COTTO &amp; MANGIATO  DI RUSSO SIMONE</v>
          </cell>
          <cell r="D732" t="str">
            <v>01504570084 RSSSMN80B08E290 O</v>
          </cell>
          <cell r="E732" t="str">
            <v>VIA MILITE IGNOTO, 10</v>
          </cell>
          <cell r="F732">
            <v>17021</v>
          </cell>
          <cell r="G732" t="str">
            <v>ALASSIO</v>
          </cell>
          <cell r="H732" t="str">
            <v>SV</v>
          </cell>
          <cell r="I732" t="str">
            <v>ITALIA</v>
          </cell>
          <cell r="J732" t="str">
            <v>328-8174589</v>
          </cell>
        </row>
        <row r="733">
          <cell r="B733">
            <v>2188</v>
          </cell>
          <cell r="C733" t="str">
            <v>COUZZI ROBERTA BAR OSPEDALE</v>
          </cell>
          <cell r="D733" t="str">
            <v>09015760011 CZZRRT76C70C722 D</v>
          </cell>
          <cell r="E733" t="str">
            <v>VIA BATTITORE, 7</v>
          </cell>
          <cell r="F733">
            <v>10073</v>
          </cell>
          <cell r="G733" t="str">
            <v>CIRIE'</v>
          </cell>
          <cell r="H733" t="str">
            <v>TO</v>
          </cell>
          <cell r="I733" t="str">
            <v>ITALIA</v>
          </cell>
          <cell r="J733" t="str">
            <v>011-92171</v>
          </cell>
        </row>
        <row r="734">
          <cell r="B734">
            <v>406</v>
          </cell>
          <cell r="C734" t="str">
            <v>COVIM S.P.A.</v>
          </cell>
          <cell r="E734" t="str">
            <v>VIA G.ADAMOLI, 241/E</v>
          </cell>
          <cell r="F734">
            <v>16141</v>
          </cell>
          <cell r="G734" t="str">
            <v>GENOVA</v>
          </cell>
          <cell r="H734" t="str">
            <v>GE</v>
          </cell>
          <cell r="I734" t="str">
            <v>ITALIA</v>
          </cell>
        </row>
        <row r="735">
          <cell r="B735">
            <v>6689</v>
          </cell>
          <cell r="C735" t="str">
            <v>CRAIGHERO  ANNALISA</v>
          </cell>
          <cell r="D735" t="str">
            <v>11962570013 CRGNLS76A55B777 A</v>
          </cell>
          <cell r="E735" t="str">
            <v>VIA GIUSEPPE QUARANTA, 4</v>
          </cell>
          <cell r="F735">
            <v>10041</v>
          </cell>
          <cell r="G735" t="str">
            <v>CARIGNANO</v>
          </cell>
          <cell r="H735" t="str">
            <v>TO</v>
          </cell>
          <cell r="I735" t="str">
            <v>ITALIA</v>
          </cell>
          <cell r="J735" t="str">
            <v>333-1880141</v>
          </cell>
        </row>
        <row r="736">
          <cell r="B736">
            <v>4787</v>
          </cell>
          <cell r="C736" t="str">
            <v>CRAVERO EDOARDO</v>
          </cell>
          <cell r="D736" t="str">
            <v>10869870013 CRVDRD82R08C62 7A</v>
          </cell>
          <cell r="E736" t="str">
            <v>VIA DOMENICO  MODUGNO, 4/A</v>
          </cell>
          <cell r="F736">
            <v>13900</v>
          </cell>
          <cell r="G736" t="str">
            <v>BIELLA</v>
          </cell>
          <cell r="H736" t="str">
            <v>BI</v>
          </cell>
          <cell r="I736" t="str">
            <v>ITALIA</v>
          </cell>
          <cell r="J736" t="str">
            <v>015-3351919</v>
          </cell>
        </row>
        <row r="737">
          <cell r="B737">
            <v>3094</v>
          </cell>
          <cell r="C737" t="str">
            <v>CREMA CAFFE'  SERVICE S.R.L.</v>
          </cell>
          <cell r="D737" t="str">
            <v>03017170121 03017170121</v>
          </cell>
          <cell r="E737" t="str">
            <v>VIA BRENO, 8</v>
          </cell>
          <cell r="F737">
            <v>21052</v>
          </cell>
          <cell r="G737" t="str">
            <v>BUSTO ARSIZIO</v>
          </cell>
          <cell r="H737" t="str">
            <v>VA</v>
          </cell>
          <cell r="I737" t="str">
            <v>ITALIA</v>
          </cell>
          <cell r="J737" t="str">
            <v xml:space="preserve">0331-631625 </v>
          </cell>
        </row>
        <row r="738">
          <cell r="B738">
            <v>7148</v>
          </cell>
          <cell r="C738" t="str">
            <v>CREPALDI  VERONICA</v>
          </cell>
          <cell r="D738" t="str">
            <v>CRPVNC79E54C980 T</v>
          </cell>
          <cell r="E738" t="str">
            <v>VIA PAPA GIOVANNI  XXIII, 1</v>
          </cell>
          <cell r="F738">
            <v>44020</v>
          </cell>
          <cell r="G738" t="str">
            <v>GORO</v>
          </cell>
          <cell r="H738" t="str">
            <v>FE</v>
          </cell>
          <cell r="I738" t="str">
            <v>ITALIA</v>
          </cell>
          <cell r="J738" t="str">
            <v>335 6537817</v>
          </cell>
        </row>
        <row r="739">
          <cell r="B739">
            <v>6723</v>
          </cell>
          <cell r="C739" t="str">
            <v>CREPALDI CLAUDIO</v>
          </cell>
          <cell r="D739" t="str">
            <v>10061070966 CRPCLD58T24F205 Z</v>
          </cell>
          <cell r="E739" t="str">
            <v>VIA IGLESIAS, 45</v>
          </cell>
          <cell r="F739">
            <v>20128</v>
          </cell>
          <cell r="G739" t="str">
            <v>MILANO</v>
          </cell>
          <cell r="H739" t="str">
            <v>MI</v>
          </cell>
          <cell r="I739" t="str">
            <v>ITALIA</v>
          </cell>
          <cell r="J739" t="str">
            <v xml:space="preserve">02-39273142         </v>
          </cell>
        </row>
        <row r="740">
          <cell r="B740">
            <v>4496</v>
          </cell>
          <cell r="C740" t="str">
            <v>CRESCENZI GUIDO</v>
          </cell>
          <cell r="D740" t="str">
            <v>CRSGDU44A14M01 4K</v>
          </cell>
          <cell r="E740" t="str">
            <v>VIA PIAVE, 27</v>
          </cell>
          <cell r="F740">
            <v>10069</v>
          </cell>
          <cell r="G740" t="str">
            <v>VILLAR PEROSA</v>
          </cell>
          <cell r="H740" t="str">
            <v>TO</v>
          </cell>
          <cell r="I740" t="str">
            <v>ITALIA</v>
          </cell>
          <cell r="J740" t="str">
            <v>339-1539596</v>
          </cell>
        </row>
        <row r="741">
          <cell r="B741">
            <v>9994</v>
          </cell>
          <cell r="C741" t="str">
            <v>CRESPI GOMME</v>
          </cell>
          <cell r="E741" t="str">
            <v>VIA PADRE ANGELO AMBROSOLI, 12</v>
          </cell>
          <cell r="F741">
            <v>21013</v>
          </cell>
          <cell r="G741" t="str">
            <v>GALLARATE</v>
          </cell>
          <cell r="H741" t="str">
            <v>VA</v>
          </cell>
          <cell r="I741" t="str">
            <v>ITALIA</v>
          </cell>
        </row>
        <row r="742">
          <cell r="B742">
            <v>6730</v>
          </cell>
          <cell r="C742" t="str">
            <v>CRIEL DI TEDESCHI  ELEONORA</v>
          </cell>
          <cell r="D742" t="str">
            <v>08791170965 TDSLNR92R57I577T</v>
          </cell>
          <cell r="E742" t="str">
            <v>VIALE SFORZA, 62D</v>
          </cell>
          <cell r="F742">
            <v>20081</v>
          </cell>
          <cell r="G742" t="str">
            <v>ABBIATEGRASSO</v>
          </cell>
          <cell r="H742" t="str">
            <v>MI</v>
          </cell>
          <cell r="I742" t="str">
            <v>ITALIA</v>
          </cell>
          <cell r="J742" t="str">
            <v>02-36529569</v>
          </cell>
        </row>
        <row r="743">
          <cell r="B743">
            <v>7838</v>
          </cell>
          <cell r="C743" t="str">
            <v>CRIS.MAR. S.N.C.</v>
          </cell>
          <cell r="E743" t="str">
            <v>VIA G.PANZERI, 21</v>
          </cell>
          <cell r="F743">
            <v>20019</v>
          </cell>
          <cell r="G743" t="str">
            <v>SETTIMO MILANESE</v>
          </cell>
          <cell r="H743" t="str">
            <v>MI</v>
          </cell>
          <cell r="I743" t="str">
            <v>ITALIA</v>
          </cell>
          <cell r="J743" t="str">
            <v>342-0484453</v>
          </cell>
        </row>
        <row r="744">
          <cell r="B744">
            <v>7343</v>
          </cell>
          <cell r="C744" t="str">
            <v>CROCCOLINO  ALESSIA</v>
          </cell>
          <cell r="D744" t="str">
            <v>CRCLSS73D63A006 U</v>
          </cell>
          <cell r="E744" t="str">
            <v>VIA ALESSANDRO  MANZONI, 50</v>
          </cell>
          <cell r="F744">
            <v>53025</v>
          </cell>
          <cell r="G744" t="str">
            <v>PIANCASTAGNAI O</v>
          </cell>
          <cell r="H744" t="str">
            <v>SI</v>
          </cell>
          <cell r="I744" t="str">
            <v>ITALIA</v>
          </cell>
          <cell r="J744" t="str">
            <v>339-7702206</v>
          </cell>
        </row>
        <row r="745">
          <cell r="B745">
            <v>6548</v>
          </cell>
          <cell r="C745" t="str">
            <v>CROCE BIANCA -  ASTI P.A.-</v>
          </cell>
          <cell r="D745" t="str">
            <v>92067060050</v>
          </cell>
          <cell r="E745" t="str">
            <v>VIA RATTI, 8</v>
          </cell>
          <cell r="F745">
            <v>14100</v>
          </cell>
          <cell r="G745" t="str">
            <v>ASTI</v>
          </cell>
          <cell r="H745" t="str">
            <v>AT</v>
          </cell>
          <cell r="I745" t="str">
            <v>ITALIA</v>
          </cell>
          <cell r="J745" t="str">
            <v>0141-599777</v>
          </cell>
        </row>
        <row r="746">
          <cell r="B746">
            <v>2110</v>
          </cell>
          <cell r="C746" t="str">
            <v>CROCE BIANCA SOC. COOP. SOC. A  R.L.</v>
          </cell>
          <cell r="D746" t="str">
            <v>01223100056 01223100056</v>
          </cell>
          <cell r="E746" t="str">
            <v>VIA XX SETTEMBRE, 126</v>
          </cell>
          <cell r="F746">
            <v>14100</v>
          </cell>
          <cell r="G746" t="str">
            <v>ASTI</v>
          </cell>
          <cell r="H746" t="str">
            <v>AT</v>
          </cell>
          <cell r="I746" t="str">
            <v>ITALIA</v>
          </cell>
          <cell r="J746" t="str">
            <v xml:space="preserve">0141-599777 </v>
          </cell>
        </row>
        <row r="747">
          <cell r="B747">
            <v>4620</v>
          </cell>
          <cell r="C747" t="str">
            <v>CUBO VENDING DI  SIRNA DAVIDE</v>
          </cell>
          <cell r="D747" t="str">
            <v>11252240012 SRNDVD79M14L219 B</v>
          </cell>
          <cell r="E747" t="str">
            <v>VIA ELENA DI  MONTENEGRO, 14/E</v>
          </cell>
          <cell r="F747">
            <v>10090</v>
          </cell>
          <cell r="G747" t="str">
            <v>FOGLIZZO</v>
          </cell>
          <cell r="H747" t="str">
            <v>TO</v>
          </cell>
          <cell r="I747" t="str">
            <v>ITALIA</v>
          </cell>
          <cell r="J747" t="str">
            <v xml:space="preserve">011-9883025 </v>
          </cell>
        </row>
        <row r="748">
          <cell r="B748">
            <v>4839</v>
          </cell>
          <cell r="C748" t="str">
            <v>CUNEO CAFFE' DI  GIORDANENGO  DANILO &amp; C.</v>
          </cell>
          <cell r="D748" t="str">
            <v>03634970044 03634970044</v>
          </cell>
          <cell r="E748" t="str">
            <v>VIA CUNEO, 136</v>
          </cell>
          <cell r="F748">
            <v>12010</v>
          </cell>
          <cell r="G748" t="str">
            <v>S.CROCE DI  CERVASCA</v>
          </cell>
          <cell r="H748" t="str">
            <v>CN</v>
          </cell>
          <cell r="I748" t="str">
            <v>ITALIA</v>
          </cell>
          <cell r="J748" t="str">
            <v>327-0041845</v>
          </cell>
        </row>
        <row r="749">
          <cell r="B749">
            <v>5544</v>
          </cell>
          <cell r="C749" t="str">
            <v>CUNEO MATIC DI  MASSA LIVIO</v>
          </cell>
          <cell r="D749" t="str">
            <v>02929120042 MSSLVI61T30D205 C</v>
          </cell>
          <cell r="E749" t="str">
            <v>VIA VALDARELLO, 2</v>
          </cell>
          <cell r="F749">
            <v>12010</v>
          </cell>
          <cell r="G749" t="str">
            <v>CERVASCA</v>
          </cell>
          <cell r="H749" t="str">
            <v>CN</v>
          </cell>
          <cell r="I749" t="str">
            <v>ITALIA</v>
          </cell>
          <cell r="J749" t="str">
            <v>333-3063822</v>
          </cell>
        </row>
        <row r="750">
          <cell r="B750">
            <v>2731</v>
          </cell>
          <cell r="C750" t="str">
            <v>CUOR DI CAFFE' S.R. L.</v>
          </cell>
          <cell r="D750" t="str">
            <v>04581150960</v>
          </cell>
          <cell r="E750" t="str">
            <v>VIA DELLA  MISERICORDIA, 45</v>
          </cell>
          <cell r="F750">
            <v>20057</v>
          </cell>
          <cell r="G750" t="str">
            <v>VEDANO AL  LAMBRO</v>
          </cell>
          <cell r="H750" t="str">
            <v>MI</v>
          </cell>
          <cell r="I750" t="str">
            <v>ITALIA</v>
          </cell>
          <cell r="J750" t="str">
            <v>328-9210100</v>
          </cell>
        </row>
        <row r="751">
          <cell r="B751">
            <v>6567</v>
          </cell>
          <cell r="C751" t="str">
            <v>CUORE SAPORE DI  CENTRONE MICHELE</v>
          </cell>
          <cell r="D751" t="str">
            <v>03400780122 CNTMHL72B25A940 C</v>
          </cell>
          <cell r="E751" t="str">
            <v>VIA VARESE, 52</v>
          </cell>
          <cell r="F751">
            <v>22076</v>
          </cell>
          <cell r="G751" t="str">
            <v>MOZZATE</v>
          </cell>
          <cell r="H751" t="str">
            <v>CO</v>
          </cell>
          <cell r="I751" t="str">
            <v>ITALIA</v>
          </cell>
          <cell r="J751" t="str">
            <v>0331-823405</v>
          </cell>
        </row>
        <row r="752">
          <cell r="B752">
            <v>7508</v>
          </cell>
          <cell r="C752" t="str">
            <v>CUPAIOLI NICOLINO</v>
          </cell>
          <cell r="D752" t="str">
            <v>80213810585</v>
          </cell>
          <cell r="E752" t="str">
            <v>VIALE DEGLI EROI DI  CEFALONIA, 135</v>
          </cell>
          <cell r="F752">
            <v>128</v>
          </cell>
          <cell r="G752" t="str">
            <v>ROMA</v>
          </cell>
          <cell r="H752" t="str">
            <v>RM</v>
          </cell>
          <cell r="I752" t="str">
            <v>ITALIA</v>
          </cell>
          <cell r="J752" t="str">
            <v>338-4776402</v>
          </cell>
        </row>
        <row r="753">
          <cell r="B753">
            <v>7028</v>
          </cell>
          <cell r="C753" t="str">
            <v>CURCI DAVIDE</v>
          </cell>
          <cell r="D753" t="str">
            <v>CRCDVD69C18E32 9W</v>
          </cell>
          <cell r="E753" t="str">
            <v>VIA TRAVERSA  CAMPAGNANO, 3</v>
          </cell>
          <cell r="F753">
            <v>80077</v>
          </cell>
          <cell r="G753" t="str">
            <v>ISCHIA</v>
          </cell>
          <cell r="H753" t="str">
            <v>NA</v>
          </cell>
          <cell r="I753" t="str">
            <v>ITALIA</v>
          </cell>
          <cell r="J753" t="str">
            <v>340-2347395</v>
          </cell>
        </row>
        <row r="754">
          <cell r="B754">
            <v>2645</v>
          </cell>
          <cell r="C754" t="str">
            <v>CUTELLE' MARCO</v>
          </cell>
          <cell r="D754" t="str">
            <v>08797440016 CTLMRC72R30L219 P</v>
          </cell>
          <cell r="E754" t="str">
            <v>VIA LUIGI LAVAZZA, 2</v>
          </cell>
          <cell r="F754">
            <v>10131</v>
          </cell>
          <cell r="G754" t="str">
            <v>TORINO</v>
          </cell>
          <cell r="H754" t="str">
            <v>TO</v>
          </cell>
          <cell r="I754" t="str">
            <v>ITALIA</v>
          </cell>
          <cell r="J754" t="str">
            <v>347-0912958</v>
          </cell>
        </row>
        <row r="755">
          <cell r="B755">
            <v>4729</v>
          </cell>
          <cell r="C755" t="str">
            <v>D&amp;C DISTRIBUTION  DI VETRICE  CLAUDIA DIANA</v>
          </cell>
          <cell r="D755" t="str">
            <v>11389650018 VTRCDD83H41Z129 K</v>
          </cell>
          <cell r="E755" t="str">
            <v>VIA CRISTOFORO  COLOMBO, 11/6</v>
          </cell>
          <cell r="F755">
            <v>10128</v>
          </cell>
          <cell r="G755" t="str">
            <v>TORINO</v>
          </cell>
          <cell r="H755" t="str">
            <v>TO</v>
          </cell>
          <cell r="I755" t="str">
            <v>ITALIA</v>
          </cell>
          <cell r="J755" t="str">
            <v>329-4841234</v>
          </cell>
        </row>
        <row r="756">
          <cell r="B756">
            <v>1830</v>
          </cell>
          <cell r="C756" t="str">
            <v>D. &amp; D. S.R.L.  DISTRIBUTORI  AUTOMATICI</v>
          </cell>
          <cell r="D756" t="str">
            <v>05267340726 05267340726</v>
          </cell>
          <cell r="E756" t="str">
            <v>VIA BENEDETTO CROCE,  4/6</v>
          </cell>
          <cell r="F756">
            <v>70010</v>
          </cell>
          <cell r="G756" t="str">
            <v>VALENZANO</v>
          </cell>
          <cell r="H756" t="str">
            <v>BA</v>
          </cell>
          <cell r="I756" t="str">
            <v>ITALIA</v>
          </cell>
          <cell r="J756" t="str">
            <v>080-4673007</v>
          </cell>
        </row>
        <row r="757">
          <cell r="B757">
            <v>5777</v>
          </cell>
          <cell r="C757" t="str">
            <v>D.A. S.A. S.</v>
          </cell>
          <cell r="D757" t="str">
            <v>06360860016 06360860016</v>
          </cell>
          <cell r="E757" t="str">
            <v>VIA SUSA, 3</v>
          </cell>
          <cell r="F757">
            <v>10042</v>
          </cell>
          <cell r="G757" t="str">
            <v>NICHELINO</v>
          </cell>
          <cell r="H757" t="str">
            <v>TO</v>
          </cell>
          <cell r="I757" t="str">
            <v>ITALIA</v>
          </cell>
          <cell r="J757" t="str">
            <v xml:space="preserve">011-623441 </v>
          </cell>
        </row>
        <row r="758">
          <cell r="B758">
            <v>1627</v>
          </cell>
          <cell r="C758" t="str">
            <v>D.A.B. DI  GAVINO SOLINAS S. R.L.</v>
          </cell>
          <cell r="D758" t="str">
            <v>02465170922 SLNGVN57C22A978 V</v>
          </cell>
          <cell r="E758" t="str">
            <v>VIA EMILIO SEGRE'   ZONA INDUSTRIALE  ELMAS</v>
          </cell>
          <cell r="F758">
            <v>9030</v>
          </cell>
          <cell r="G758" t="str">
            <v>CAGLIARI</v>
          </cell>
          <cell r="H758" t="str">
            <v>CA</v>
          </cell>
          <cell r="I758" t="str">
            <v>ITALIA</v>
          </cell>
          <cell r="J758" t="str">
            <v>070-240488</v>
          </cell>
        </row>
        <row r="759">
          <cell r="B759">
            <v>4659</v>
          </cell>
          <cell r="C759" t="str">
            <v>D.A.C.  DISTRIBUTORI  AUTOMATICI  COLOMBI S.N.C.</v>
          </cell>
          <cell r="D759" t="str">
            <v>02223230166 02223230166</v>
          </cell>
          <cell r="E759" t="str">
            <v>VIA CAVOUR, 6</v>
          </cell>
          <cell r="F759">
            <v>24020</v>
          </cell>
          <cell r="G759" t="str">
            <v>CAZZANO SANT' ANDREA</v>
          </cell>
          <cell r="H759" t="str">
            <v>BG</v>
          </cell>
          <cell r="I759" t="str">
            <v>ITALIA</v>
          </cell>
          <cell r="J759" t="str">
            <v>349-2902328</v>
          </cell>
        </row>
        <row r="760">
          <cell r="B760">
            <v>3600</v>
          </cell>
          <cell r="C760" t="str">
            <v>D.A.L.S. DI  SARTORIS CARLA</v>
          </cell>
          <cell r="D760" t="str">
            <v>01005500119 SRTCRL71E69E463 O</v>
          </cell>
          <cell r="E760" t="str">
            <v>VIA BUONVIAGGIO, 317</v>
          </cell>
          <cell r="F760">
            <v>19125</v>
          </cell>
          <cell r="G760" t="str">
            <v>LA SPEZIA</v>
          </cell>
          <cell r="H760" t="str">
            <v>SP</v>
          </cell>
          <cell r="I760" t="str">
            <v>ITALIA</v>
          </cell>
          <cell r="J760" t="str">
            <v>335-8166048</v>
          </cell>
        </row>
        <row r="761">
          <cell r="B761">
            <v>40</v>
          </cell>
          <cell r="C761" t="str">
            <v>D.A.N. DI PORTONI  GIAMPIERO</v>
          </cell>
          <cell r="D761" t="str">
            <v>01275000030 PRTGPR62M07F952 S</v>
          </cell>
          <cell r="E761" t="str">
            <v>VIA NOVARA, 67</v>
          </cell>
          <cell r="F761">
            <v>28067</v>
          </cell>
          <cell r="G761" t="str">
            <v>PERNATE</v>
          </cell>
          <cell r="H761" t="str">
            <v>NO</v>
          </cell>
          <cell r="I761" t="str">
            <v>ITALIA</v>
          </cell>
          <cell r="J761" t="str">
            <v>0321-636532</v>
          </cell>
        </row>
        <row r="762">
          <cell r="B762">
            <v>5611</v>
          </cell>
          <cell r="C762" t="str">
            <v>D.A.P. DI DELLA  MANNA PIERFRANCO</v>
          </cell>
          <cell r="D762" t="str">
            <v>04536310016 DLLPFR59E02L219L</v>
          </cell>
          <cell r="E762" t="str">
            <v>VIA COGNE, 17</v>
          </cell>
          <cell r="F762">
            <v>10155</v>
          </cell>
          <cell r="G762" t="str">
            <v>TORINO</v>
          </cell>
          <cell r="H762" t="str">
            <v>TO</v>
          </cell>
          <cell r="I762" t="str">
            <v>ITALIA</v>
          </cell>
          <cell r="J762" t="str">
            <v>011-9974433</v>
          </cell>
        </row>
        <row r="763">
          <cell r="B763">
            <v>6547</v>
          </cell>
          <cell r="C763" t="str">
            <v>D.A.R. S.A.S. DI  FILIPPO ROSSI</v>
          </cell>
          <cell r="D763" t="str">
            <v>02715640963</v>
          </cell>
          <cell r="E763" t="str">
            <v>VIA RENATO PELLEGATTA,  22</v>
          </cell>
          <cell r="F763">
            <v>20871</v>
          </cell>
          <cell r="G763" t="str">
            <v>VIMERCATE</v>
          </cell>
          <cell r="H763" t="str">
            <v>MB</v>
          </cell>
          <cell r="I763" t="str">
            <v>ITALIA</v>
          </cell>
          <cell r="J763" t="str">
            <v>335-6221068</v>
          </cell>
        </row>
        <row r="764">
          <cell r="B764">
            <v>2965</v>
          </cell>
          <cell r="C764" t="str">
            <v>D.A.T. CAFFE' S.N.C.</v>
          </cell>
          <cell r="D764" t="str">
            <v>09666000014 09666000014</v>
          </cell>
          <cell r="E764" t="str">
            <v>VIA LUCCA, 30/A</v>
          </cell>
          <cell r="F764">
            <v>10151</v>
          </cell>
          <cell r="G764" t="str">
            <v>TORINO</v>
          </cell>
          <cell r="H764" t="str">
            <v>TO</v>
          </cell>
          <cell r="I764" t="str">
            <v>ITALIA</v>
          </cell>
          <cell r="J764" t="str">
            <v>011-0567305</v>
          </cell>
        </row>
        <row r="765">
          <cell r="B765">
            <v>5793</v>
          </cell>
          <cell r="C765" t="str">
            <v>D.A.V. DEI F.LLI  BOSIO S.N.C.</v>
          </cell>
          <cell r="D765" t="str">
            <v>07022980010 07022980010</v>
          </cell>
          <cell r="E765" t="str">
            <v>VIA GEN.GIULIO  MARTINAT, 14</v>
          </cell>
          <cell r="F765">
            <v>10066</v>
          </cell>
          <cell r="G765" t="str">
            <v>TORRE PELLICE</v>
          </cell>
          <cell r="H765" t="str">
            <v>TO</v>
          </cell>
          <cell r="I765" t="str">
            <v>ITALIA</v>
          </cell>
          <cell r="J765" t="str">
            <v xml:space="preserve">0121-91396 </v>
          </cell>
        </row>
        <row r="766">
          <cell r="B766">
            <v>6455</v>
          </cell>
          <cell r="C766" t="str">
            <v>D.D.G. S.N.C. DI  DANIELA DI  VIRGILIO &amp; C.</v>
          </cell>
          <cell r="D766" t="str">
            <v>01535680084 01535680084</v>
          </cell>
          <cell r="E766" t="str">
            <v>VIA MARTIRI DELLA  LIBERTA'</v>
          </cell>
          <cell r="F766">
            <v>18038</v>
          </cell>
          <cell r="G766" t="str">
            <v>SANREMO</v>
          </cell>
          <cell r="H766" t="str">
            <v>IM</v>
          </cell>
          <cell r="I766" t="str">
            <v>ITALIA</v>
          </cell>
          <cell r="J766" t="str">
            <v>333-3770840</v>
          </cell>
        </row>
        <row r="767">
          <cell r="B767">
            <v>2979</v>
          </cell>
          <cell r="C767" t="str">
            <v>D.E.R. DISTRIBUZIONE AUTOMATICA</v>
          </cell>
          <cell r="D767" t="str">
            <v>00683810493 DLLRFL57D24D998X</v>
          </cell>
          <cell r="E767" t="str">
            <v>VIA GENOVA, 5 - ZONA  INDUSTRIALE</v>
          </cell>
          <cell r="F767">
            <v>56038</v>
          </cell>
          <cell r="G767" t="str">
            <v>PONSACCO</v>
          </cell>
          <cell r="H767" t="str">
            <v>PI</v>
          </cell>
          <cell r="I767" t="str">
            <v>ITALIA</v>
          </cell>
          <cell r="J767" t="str">
            <v>0587-729195</v>
          </cell>
        </row>
        <row r="768">
          <cell r="B768">
            <v>6487</v>
          </cell>
          <cell r="C768" t="str">
            <v>D.G. TOOLS SAS</v>
          </cell>
          <cell r="D768" t="str">
            <v>10913790019 10913790019</v>
          </cell>
          <cell r="E768" t="str">
            <v>VIA CESARE BALBO,19</v>
          </cell>
          <cell r="F768">
            <v>10124</v>
          </cell>
          <cell r="G768" t="str">
            <v>TORINO</v>
          </cell>
          <cell r="H768" t="str">
            <v>TO</v>
          </cell>
          <cell r="I768" t="str">
            <v>ITALIA</v>
          </cell>
          <cell r="J768" t="str">
            <v>328-8251310</v>
          </cell>
        </row>
        <row r="769">
          <cell r="B769">
            <v>4726</v>
          </cell>
          <cell r="C769" t="str">
            <v>D.R. DI D'AFFUSO  ROCCO</v>
          </cell>
          <cell r="D769" t="str">
            <v>06907190018 DFFRCC64E21F052 R</v>
          </cell>
          <cell r="E769" t="str">
            <v>VIA TIBALDI,  55</v>
          </cell>
          <cell r="F769">
            <v>10071</v>
          </cell>
          <cell r="G769" t="str">
            <v>MAPPANO DI  BORGARO  TORINESE</v>
          </cell>
          <cell r="H769" t="str">
            <v>TO</v>
          </cell>
          <cell r="I769" t="str">
            <v>ITALIA</v>
          </cell>
          <cell r="J769" t="str">
            <v>011-2621070</v>
          </cell>
        </row>
        <row r="770">
          <cell r="B770">
            <v>4311</v>
          </cell>
          <cell r="C770" t="str">
            <v>D.V. VENDING DI  VINCENZO DIANO</v>
          </cell>
          <cell r="D770" t="str">
            <v>03312510542 DNIVCN73R15H224 N</v>
          </cell>
          <cell r="E770" t="str">
            <v>VIA POMPEO, 2</v>
          </cell>
          <cell r="F770">
            <v>6012</v>
          </cell>
          <cell r="G770" t="str">
            <v>CITTA' DI  CASTELLO</v>
          </cell>
          <cell r="H770" t="str">
            <v>PG</v>
          </cell>
          <cell r="I770" t="str">
            <v>ITALIA</v>
          </cell>
          <cell r="J770" t="str">
            <v xml:space="preserve">031-79421 </v>
          </cell>
        </row>
        <row r="771">
          <cell r="B771">
            <v>2533</v>
          </cell>
          <cell r="C771" t="str">
            <v>D.V.D. DUE S.A. S. DI CANITO  FRANCESCO E C.</v>
          </cell>
          <cell r="D771" t="str">
            <v>09209570010 09209570010</v>
          </cell>
          <cell r="E771" t="str">
            <v>VIA LEINI', 1/A</v>
          </cell>
          <cell r="F771">
            <v>10077</v>
          </cell>
          <cell r="G771" t="str">
            <v>SAN MAURIZIO  CANAVESE</v>
          </cell>
          <cell r="H771" t="str">
            <v>TO</v>
          </cell>
          <cell r="I771" t="str">
            <v>ITALIA</v>
          </cell>
          <cell r="J771" t="str">
            <v>348-1559771</v>
          </cell>
        </row>
        <row r="772">
          <cell r="B772">
            <v>2908</v>
          </cell>
          <cell r="C772" t="str">
            <v>D.V.R. DI SCARSI  DIEGO &amp; C. S.N.C.</v>
          </cell>
          <cell r="D772" t="str">
            <v>03405610167 03405610167</v>
          </cell>
          <cell r="E772" t="str">
            <v>VIA CAVOUR, 20</v>
          </cell>
          <cell r="F772">
            <v>24061</v>
          </cell>
          <cell r="G772" t="str">
            <v>ALBANO SANT'  ALESSANDRO</v>
          </cell>
          <cell r="H772" t="str">
            <v>BG</v>
          </cell>
          <cell r="I772" t="str">
            <v>ITALIA</v>
          </cell>
          <cell r="J772" t="str">
            <v>035-4521361</v>
          </cell>
        </row>
        <row r="773">
          <cell r="B773">
            <v>4611</v>
          </cell>
          <cell r="C773" t="str">
            <v>D.V.SYSTEM DI ATTI  LEONARDO</v>
          </cell>
          <cell r="D773" t="str">
            <v>03394341204 03394341204</v>
          </cell>
          <cell r="E773" t="str">
            <v>VIA ZENZALINO NORD,  143</v>
          </cell>
          <cell r="F773">
            <v>40054</v>
          </cell>
          <cell r="G773" t="str">
            <v>BUDRIO</v>
          </cell>
          <cell r="H773" t="str">
            <v>BO</v>
          </cell>
          <cell r="I773" t="str">
            <v>ITALIA</v>
          </cell>
          <cell r="J773" t="str">
            <v>393-6714661</v>
          </cell>
        </row>
        <row r="774">
          <cell r="B774">
            <v>4173</v>
          </cell>
          <cell r="C774" t="str">
            <v>DA GIANNINO S. N.C. DI ANTONELLA  DE BERCHI</v>
          </cell>
          <cell r="D774" t="str">
            <v>02335940066 02335940066</v>
          </cell>
          <cell r="E774" t="str">
            <v>P.ZZA MAZZINI, 1</v>
          </cell>
          <cell r="F774">
            <v>15076</v>
          </cell>
          <cell r="G774" t="str">
            <v>OVADA</v>
          </cell>
          <cell r="H774" t="str">
            <v>AL</v>
          </cell>
          <cell r="I774" t="str">
            <v>ITALIA</v>
          </cell>
          <cell r="J774" t="str">
            <v>337-207965</v>
          </cell>
        </row>
        <row r="775">
          <cell r="B775">
            <v>4768</v>
          </cell>
          <cell r="C775" t="str">
            <v>DA RE STEFANO</v>
          </cell>
          <cell r="D775" t="str">
            <v>02193160062 DRASFN58A22H569 P</v>
          </cell>
          <cell r="E775" t="str">
            <v>VIA SANT' ANTONIO, 55</v>
          </cell>
          <cell r="F775">
            <v>15030</v>
          </cell>
          <cell r="G775" t="str">
            <v>CAMAGNA  MONFERRATO</v>
          </cell>
          <cell r="H775" t="str">
            <v>AL</v>
          </cell>
          <cell r="I775" t="str">
            <v>ITALIA</v>
          </cell>
          <cell r="J775" t="str">
            <v>347-5824438</v>
          </cell>
        </row>
        <row r="776">
          <cell r="B776">
            <v>7365</v>
          </cell>
          <cell r="C776" t="str">
            <v>DABROJA HEKURAN</v>
          </cell>
          <cell r="D776" t="str">
            <v>DBRHRN77C12Z100 B</v>
          </cell>
          <cell r="E776" t="str">
            <v>VIA UGO FOSCOLO 136</v>
          </cell>
          <cell r="F776">
            <v>19125</v>
          </cell>
          <cell r="G776" t="str">
            <v>LA SPEZIA</v>
          </cell>
          <cell r="H776" t="str">
            <v>SP</v>
          </cell>
          <cell r="I776" t="str">
            <v>ITALIA</v>
          </cell>
          <cell r="J776" t="str">
            <v>392-6286375</v>
          </cell>
        </row>
        <row r="777">
          <cell r="B777">
            <v>2402</v>
          </cell>
          <cell r="C777" t="str">
            <v>DACAF 2000 S.N.C DI PRAGO PASQUALE &amp; C.</v>
          </cell>
          <cell r="E777" t="str">
            <v>VIA VOLONTARI DEL SANGUE, 5</v>
          </cell>
          <cell r="F777">
            <v>20092</v>
          </cell>
          <cell r="G777" t="str">
            <v>CINISELLO BALSAMO</v>
          </cell>
          <cell r="H777" t="str">
            <v>MI</v>
          </cell>
          <cell r="I777" t="str">
            <v>ITALIA</v>
          </cell>
          <cell r="J777" t="str">
            <v>02-66045519</v>
          </cell>
        </row>
        <row r="778">
          <cell r="B778">
            <v>4660</v>
          </cell>
          <cell r="C778" t="str">
            <v>DADA CAFFE' DI DI  GIOIA ANTONELLO</v>
          </cell>
          <cell r="D778" t="str">
            <v>11294330011 DGINNL68A11L219J</v>
          </cell>
          <cell r="E778" t="str">
            <v>VIA LEONARDO DA VINCI, 165</v>
          </cell>
          <cell r="F778">
            <v>10095</v>
          </cell>
          <cell r="G778" t="str">
            <v>GRUGLIASCO</v>
          </cell>
          <cell r="H778" t="str">
            <v>TO</v>
          </cell>
          <cell r="I778" t="str">
            <v>ITALIA</v>
          </cell>
          <cell r="J778" t="str">
            <v>345-4202228</v>
          </cell>
        </row>
        <row r="779">
          <cell r="B779">
            <v>7135</v>
          </cell>
          <cell r="C779" t="str">
            <v>DADOSTUDIO SAS</v>
          </cell>
          <cell r="D779" t="str">
            <v>09104240016</v>
          </cell>
          <cell r="E779" t="str">
            <v>VIA CERVINO, 24/A</v>
          </cell>
          <cell r="F779">
            <v>10155</v>
          </cell>
          <cell r="G779" t="str">
            <v>TORINO</v>
          </cell>
          <cell r="H779" t="str">
            <v>TO</v>
          </cell>
          <cell r="I779" t="str">
            <v>ITALIA</v>
          </cell>
          <cell r="J779" t="str">
            <v>011-2478355</v>
          </cell>
        </row>
        <row r="780">
          <cell r="B780">
            <v>5681</v>
          </cell>
          <cell r="C780" t="str">
            <v>DAFRA S.N.C. DI  DUC ROGER &amp; C.</v>
          </cell>
          <cell r="D780" t="str">
            <v>00507810075 00507810075</v>
          </cell>
          <cell r="E780" t="str">
            <v>VIA NAZIONALE, 22</v>
          </cell>
          <cell r="F780">
            <v>11020</v>
          </cell>
          <cell r="G780" t="str">
            <v>ARNAD</v>
          </cell>
          <cell r="H780" t="str">
            <v>AO</v>
          </cell>
          <cell r="I780" t="str">
            <v>ITALIA</v>
          </cell>
          <cell r="J780" t="str">
            <v>0125-803485</v>
          </cell>
        </row>
        <row r="781">
          <cell r="B781">
            <v>7411</v>
          </cell>
          <cell r="C781" t="str">
            <v>DAGLIANO  DOMENICA</v>
          </cell>
          <cell r="D781" t="str">
            <v>DGLDNC65E60G273 Z</v>
          </cell>
          <cell r="E781" t="str">
            <v>VIA GIULIANO NEGRI 8</v>
          </cell>
          <cell r="F781">
            <v>26841</v>
          </cell>
          <cell r="G781" t="str">
            <v>CASALPUSTERLE NGO</v>
          </cell>
          <cell r="H781" t="str">
            <v>LO</v>
          </cell>
          <cell r="I781" t="str">
            <v>ITALIA</v>
          </cell>
          <cell r="J781" t="str">
            <v>340-2344022</v>
          </cell>
        </row>
        <row r="782">
          <cell r="B782">
            <v>6020</v>
          </cell>
          <cell r="C782" t="str">
            <v>DAILY CAFFE' DI  BALZANO DAVIDE</v>
          </cell>
          <cell r="D782" t="str">
            <v>07664210015 BLZDVD72C16L219 Y</v>
          </cell>
          <cell r="E782" t="str">
            <v>VIA LUIGI CIBRARIO,  97/D</v>
          </cell>
          <cell r="F782">
            <v>10143</v>
          </cell>
          <cell r="G782" t="str">
            <v>TORINO</v>
          </cell>
          <cell r="H782" t="str">
            <v>TO</v>
          </cell>
          <cell r="I782" t="str">
            <v>ITALIA</v>
          </cell>
          <cell r="J782" t="str">
            <v>011-7719831</v>
          </cell>
        </row>
        <row r="783">
          <cell r="B783">
            <v>3841</v>
          </cell>
          <cell r="C783" t="str">
            <v>DAILY FOOD DI D' ADAMI LORELLA</v>
          </cell>
          <cell r="D783" t="str">
            <v>10320840019 DDMLLL68M57L219 Z</v>
          </cell>
          <cell r="E783" t="str">
            <v>VIA NICOMEDE BIANCHI,  62</v>
          </cell>
          <cell r="F783">
            <v>10146</v>
          </cell>
          <cell r="G783" t="str">
            <v>TORINO</v>
          </cell>
          <cell r="H783" t="str">
            <v>TO</v>
          </cell>
          <cell r="I783" t="str">
            <v>ITALIA</v>
          </cell>
          <cell r="J783" t="str">
            <v>339-3965402</v>
          </cell>
        </row>
        <row r="784">
          <cell r="B784">
            <v>2403</v>
          </cell>
          <cell r="C784" t="str">
            <v>DAILYCAFF S.A.S.  DI CUCCHI FRANCO  E C.</v>
          </cell>
          <cell r="D784" t="str">
            <v>09220540158 09220540158</v>
          </cell>
          <cell r="E784" t="str">
            <v>VIA B. CAIROLI, 13</v>
          </cell>
          <cell r="F784">
            <v>20013</v>
          </cell>
          <cell r="G784" t="str">
            <v>MAGENTA</v>
          </cell>
          <cell r="H784" t="str">
            <v>MI</v>
          </cell>
          <cell r="I784" t="str">
            <v>ITALIA</v>
          </cell>
          <cell r="J784" t="str">
            <v>02-9793286</v>
          </cell>
        </row>
        <row r="785">
          <cell r="B785">
            <v>9357</v>
          </cell>
          <cell r="C785" t="str">
            <v>DAJA KEVIN</v>
          </cell>
          <cell r="E785" t="str">
            <v>STRADONE FARNESE,4A</v>
          </cell>
          <cell r="F785"/>
          <cell r="G785" t="str">
            <v>PIACENZA</v>
          </cell>
          <cell r="H785" t="str">
            <v>PC</v>
          </cell>
          <cell r="I785" t="str">
            <v>ITALIA</v>
          </cell>
        </row>
        <row r="786">
          <cell r="B786">
            <v>7345</v>
          </cell>
          <cell r="C786" t="str">
            <v>DAL BELLO MARIO</v>
          </cell>
          <cell r="D786" t="str">
            <v>DLBMRA63C16A471 P</v>
          </cell>
          <cell r="E786" t="str">
            <v>VIA VITTORIO BOTTEGO  12</v>
          </cell>
          <cell r="F786">
            <v>44124</v>
          </cell>
          <cell r="G786" t="str">
            <v>FERRARA</v>
          </cell>
          <cell r="H786" t="str">
            <v>FE</v>
          </cell>
          <cell r="I786" t="str">
            <v>ITALIA</v>
          </cell>
          <cell r="J786" t="str">
            <v>393-9112620</v>
          </cell>
        </row>
        <row r="787">
          <cell r="B787">
            <v>4789</v>
          </cell>
          <cell r="C787" t="str">
            <v>DAL CORSO  RENZO</v>
          </cell>
          <cell r="D787" t="str">
            <v>03328010123 DLCRNZ47R25E684 E</v>
          </cell>
          <cell r="E787" t="str">
            <v>VIA VERGIATE, 20/A</v>
          </cell>
          <cell r="F787">
            <v>21029</v>
          </cell>
          <cell r="G787" t="str">
            <v>VERGIATE FRAZ.  CIMBRO</v>
          </cell>
          <cell r="H787" t="str">
            <v>VA</v>
          </cell>
          <cell r="I787" t="str">
            <v>ITALIA</v>
          </cell>
          <cell r="J787" t="str">
            <v>345-1402755</v>
          </cell>
        </row>
        <row r="788">
          <cell r="B788">
            <v>7020</v>
          </cell>
          <cell r="C788" t="str">
            <v>D'ALBA MARCO  VINCENZO</v>
          </cell>
          <cell r="D788" t="str">
            <v>DLBMCV73E24D754 A</v>
          </cell>
          <cell r="E788" t="str">
            <v>VIA ELEONORA D' ARBOREA 29/D</v>
          </cell>
          <cell r="F788">
            <v>9026</v>
          </cell>
          <cell r="G788" t="str">
            <v>SAN SPERATE</v>
          </cell>
          <cell r="H788" t="str">
            <v>SU</v>
          </cell>
          <cell r="I788" t="str">
            <v>ITALIA</v>
          </cell>
          <cell r="J788" t="str">
            <v>334-1172355</v>
          </cell>
        </row>
        <row r="789">
          <cell r="B789">
            <v>7431</v>
          </cell>
          <cell r="C789" t="str">
            <v>DALMAZZI WALTER</v>
          </cell>
          <cell r="D789" t="str">
            <v>DLMWTR51M19F437 V</v>
          </cell>
          <cell r="E789" t="str">
            <v>VIA G.T. INVREA 18-12</v>
          </cell>
          <cell r="F789">
            <v>16129</v>
          </cell>
          <cell r="G789" t="str">
            <v>GENOVA</v>
          </cell>
          <cell r="H789" t="str">
            <v>GO</v>
          </cell>
          <cell r="I789" t="str">
            <v>ITALIA</v>
          </cell>
          <cell r="J789" t="str">
            <v>334-9498089</v>
          </cell>
        </row>
        <row r="790">
          <cell r="B790">
            <v>4065</v>
          </cell>
          <cell r="C790" t="str">
            <v>DAMA COFFEE S.A.S. DI MAURO  BOIRIVANT E C.</v>
          </cell>
          <cell r="D790" t="str">
            <v>07556580962 07556580962</v>
          </cell>
          <cell r="E790" t="str">
            <v>VIA C. CATTANEO, 4</v>
          </cell>
          <cell r="F790">
            <v>20900</v>
          </cell>
          <cell r="G790" t="str">
            <v>MONZA</v>
          </cell>
          <cell r="H790" t="str">
            <v>MB</v>
          </cell>
          <cell r="I790" t="str">
            <v>ITALIA</v>
          </cell>
          <cell r="J790" t="str">
            <v>392-9771498</v>
          </cell>
        </row>
        <row r="791">
          <cell r="B791">
            <v>7409</v>
          </cell>
          <cell r="C791" t="str">
            <v>DAMAMA DI  SANGIOVANNI ELISA</v>
          </cell>
          <cell r="D791" t="str">
            <v>02652800034 SNGLSE76P62I819X</v>
          </cell>
          <cell r="E791" t="str">
            <v>VIA PALANCHINA, 5</v>
          </cell>
          <cell r="F791">
            <v>28047</v>
          </cell>
          <cell r="G791" t="str">
            <v>OLEGGIO</v>
          </cell>
          <cell r="H791" t="str">
            <v>NO</v>
          </cell>
          <cell r="I791" t="str">
            <v>ITALIA</v>
          </cell>
          <cell r="J791" t="str">
            <v>348-3485348</v>
          </cell>
        </row>
        <row r="792">
          <cell r="B792">
            <v>2816</v>
          </cell>
          <cell r="C792" t="str">
            <v>DAMIANO  ROSSINI</v>
          </cell>
          <cell r="D792" t="str">
            <v>02740620121 RSSDMN71C17E591 J</v>
          </cell>
          <cell r="E792" t="str">
            <v>VIA MAGENTA, 30</v>
          </cell>
          <cell r="F792">
            <v>21040</v>
          </cell>
          <cell r="G792" t="str">
            <v>UBOLDO</v>
          </cell>
          <cell r="H792" t="str">
            <v>VA</v>
          </cell>
          <cell r="I792" t="str">
            <v>ITALIA</v>
          </cell>
          <cell r="J792" t="str">
            <v>02-96780234</v>
          </cell>
        </row>
        <row r="793">
          <cell r="B793">
            <v>1624</v>
          </cell>
          <cell r="C793" t="str">
            <v>DAMSCO S.R.L.</v>
          </cell>
          <cell r="D793" t="str">
            <v>01517250120 01517250120</v>
          </cell>
          <cell r="E793" t="str">
            <v>VIA SALVO D' ACQUISTO</v>
          </cell>
          <cell r="F793">
            <v>21055</v>
          </cell>
          <cell r="G793" t="str">
            <v>GORLA MINORE</v>
          </cell>
          <cell r="H793" t="str">
            <v>VA</v>
          </cell>
          <cell r="I793" t="str">
            <v>ITALIA</v>
          </cell>
          <cell r="J793" t="str">
            <v xml:space="preserve">0331-600441 </v>
          </cell>
        </row>
        <row r="794">
          <cell r="B794">
            <v>6809</v>
          </cell>
          <cell r="C794" t="str">
            <v>DAN.E.S. DI  DANIELE CHIODINI</v>
          </cell>
          <cell r="D794" t="str">
            <v>08431040966 CHDDNL75E12E801 J</v>
          </cell>
          <cell r="E794" t="str">
            <v>VIA GIOVANNI  BOURDILLON, 41</v>
          </cell>
          <cell r="F794">
            <v>20063</v>
          </cell>
          <cell r="G794" t="str">
            <v>CERNUSCO SUL  NAVIGLIO</v>
          </cell>
          <cell r="H794" t="str">
            <v>MI</v>
          </cell>
          <cell r="I794" t="str">
            <v>ITALIA</v>
          </cell>
          <cell r="J794" t="str">
            <v>340-7625962</v>
          </cell>
        </row>
        <row r="795">
          <cell r="B795">
            <v>6822</v>
          </cell>
          <cell r="C795" t="str">
            <v>DANI COFFEE S.N.C.  DI VILLA CLAUDIO &amp; C.</v>
          </cell>
          <cell r="D795" t="str">
            <v>04051810168 04051810168</v>
          </cell>
          <cell r="E795" t="str">
            <v>VIA F. CORRIDONI, 33</v>
          </cell>
          <cell r="F795">
            <v>24124</v>
          </cell>
          <cell r="G795" t="str">
            <v>BERGAMO</v>
          </cell>
          <cell r="H795" t="str">
            <v>BG</v>
          </cell>
          <cell r="I795" t="str">
            <v>ITALIA</v>
          </cell>
          <cell r="J795" t="str">
            <v>391-1599925</v>
          </cell>
        </row>
        <row r="796">
          <cell r="B796">
            <v>6819</v>
          </cell>
          <cell r="C796" t="str">
            <v>DANI VENDING DI  DEL NINNO GAETANO</v>
          </cell>
          <cell r="D796" t="str">
            <v>04091490161 DLNGTN71A23A783 B</v>
          </cell>
          <cell r="E796" t="str">
            <v>VIA MARIGOLDA, 14</v>
          </cell>
          <cell r="F796">
            <v>24035</v>
          </cell>
          <cell r="G796" t="str">
            <v>CURNO</v>
          </cell>
          <cell r="H796" t="str">
            <v>BG</v>
          </cell>
          <cell r="I796" t="str">
            <v>ITALIA</v>
          </cell>
          <cell r="J796" t="str">
            <v>334-7180042</v>
          </cell>
        </row>
        <row r="797">
          <cell r="B797">
            <v>7004</v>
          </cell>
          <cell r="C797" t="str">
            <v>DANIELA EPIGRAFI</v>
          </cell>
          <cell r="D797" t="str">
            <v>PGRDNL74C43B110 N</v>
          </cell>
          <cell r="E797" t="str">
            <v>VIA RIMEMBRANZA, 36/2</v>
          </cell>
          <cell r="F797">
            <v>46013</v>
          </cell>
          <cell r="G797" t="str">
            <v>CANNETO SULL' OGLIO</v>
          </cell>
          <cell r="H797" t="str">
            <v>MN</v>
          </cell>
          <cell r="I797" t="str">
            <v>ITALIA</v>
          </cell>
          <cell r="J797" t="str">
            <v>339-8120010</v>
          </cell>
        </row>
        <row r="798">
          <cell r="B798">
            <v>4991</v>
          </cell>
          <cell r="C798" t="str">
            <v>DANY'S SA</v>
          </cell>
          <cell r="D798" t="str">
            <v>04991</v>
          </cell>
          <cell r="E798" t="str">
            <v>VIA CANTONALE, 79</v>
          </cell>
          <cell r="F798">
            <v>6573</v>
          </cell>
          <cell r="G798" t="str">
            <v>MAGADINO -  SVIZZERA -</v>
          </cell>
          <cell r="I798" t="str">
            <v>SVIZZERA</v>
          </cell>
          <cell r="J798" t="str">
            <v>0041-917951207</v>
          </cell>
        </row>
        <row r="799">
          <cell r="B799">
            <v>4487</v>
          </cell>
          <cell r="C799" t="str">
            <v>DAP DI DELLA  MANNA MICHELE</v>
          </cell>
          <cell r="D799" t="str">
            <v>11059590015 DLLMHL95D10L219F</v>
          </cell>
          <cell r="E799" t="str">
            <v>VIA REMMERT, 6/B</v>
          </cell>
          <cell r="F799">
            <v>10077</v>
          </cell>
          <cell r="G799" t="str">
            <v>SAN MAURIZIO  CANAVESE</v>
          </cell>
          <cell r="H799" t="str">
            <v>TO</v>
          </cell>
          <cell r="I799" t="str">
            <v>ITALIA</v>
          </cell>
          <cell r="J799" t="str">
            <v>348-7202461</v>
          </cell>
        </row>
        <row r="800">
          <cell r="B800">
            <v>10010</v>
          </cell>
          <cell r="C800" t="str">
            <v>DAP S.R.L. DISTRIBUTORI AUTOMATICI PAVESI</v>
          </cell>
          <cell r="E800" t="str">
            <v>VIA XXIV MAGGIO, 20</v>
          </cell>
          <cell r="F800">
            <v>27017</v>
          </cell>
          <cell r="G800" t="str">
            <v>PIEVE PORTO MORONE</v>
          </cell>
          <cell r="H800" t="str">
            <v>PV</v>
          </cell>
          <cell r="I800" t="str">
            <v>ITALIA</v>
          </cell>
          <cell r="J800" t="str">
            <v>0382-78529</v>
          </cell>
        </row>
        <row r="801">
          <cell r="B801">
            <v>6736</v>
          </cell>
          <cell r="C801" t="str">
            <v>DARGENIO ANGELA</v>
          </cell>
          <cell r="D801" t="str">
            <v>09846840966</v>
          </cell>
          <cell r="E801" t="str">
            <v>VIA DON DEFENDENTE, 20</v>
          </cell>
          <cell r="F801">
            <v>20080</v>
          </cell>
          <cell r="G801" t="str">
            <v>CALVIGNASCO</v>
          </cell>
          <cell r="H801" t="str">
            <v>MI</v>
          </cell>
          <cell r="I801" t="str">
            <v>ITALIA</v>
          </cell>
          <cell r="J801" t="str">
            <v>328-0796046</v>
          </cell>
        </row>
        <row r="802">
          <cell r="B802">
            <v>4968</v>
          </cell>
          <cell r="C802" t="str">
            <v>DARIO BERGIA</v>
          </cell>
          <cell r="D802" t="str">
            <v>03663010043 BRGDRA69T20D205 B</v>
          </cell>
          <cell r="E802" t="str">
            <v>C.SO NIZZA, 76</v>
          </cell>
          <cell r="F802">
            <v>12011</v>
          </cell>
          <cell r="G802" t="str">
            <v>BORGO SAN  DALMAZZO</v>
          </cell>
          <cell r="H802" t="str">
            <v>CN</v>
          </cell>
          <cell r="I802" t="str">
            <v>ITALIA</v>
          </cell>
          <cell r="J802" t="str">
            <v>335-7875792</v>
          </cell>
        </row>
        <row r="803">
          <cell r="B803">
            <v>7469</v>
          </cell>
          <cell r="C803" t="str">
            <v>D'ARTISTA  ALESSANDRA</v>
          </cell>
          <cell r="D803" t="str">
            <v>DRTLSN93R45G482 V</v>
          </cell>
          <cell r="E803" t="str">
            <v>STRADA COMUNALE  PRATI, 91</v>
          </cell>
          <cell r="F803">
            <v>65125</v>
          </cell>
          <cell r="G803" t="str">
            <v>PESCARA</v>
          </cell>
          <cell r="H803" t="str">
            <v>PE</v>
          </cell>
          <cell r="I803" t="str">
            <v>ITALIA</v>
          </cell>
          <cell r="J803" t="str">
            <v>392-4869458</v>
          </cell>
        </row>
        <row r="804">
          <cell r="B804">
            <v>5722</v>
          </cell>
          <cell r="C804" t="str">
            <v>DAST DI GALLETTI  VALENTINO</v>
          </cell>
          <cell r="D804" t="str">
            <v>04553750011 GLLVNT55P12I199Z</v>
          </cell>
          <cell r="E804" t="str">
            <v>VIA MONTE GRAPPA, 12</v>
          </cell>
          <cell r="F804">
            <v>10036</v>
          </cell>
          <cell r="G804" t="str">
            <v>SETTIMO  TORINESE</v>
          </cell>
          <cell r="H804" t="str">
            <v>TO</v>
          </cell>
          <cell r="I804" t="str">
            <v>ITALIA</v>
          </cell>
          <cell r="J804" t="str">
            <v>011-8978384</v>
          </cell>
        </row>
        <row r="805">
          <cell r="B805">
            <v>1974</v>
          </cell>
          <cell r="C805" t="str">
            <v>DATEK S.R.L. A  SOCIO UNICO</v>
          </cell>
          <cell r="D805" t="str">
            <v>02810050126 02810050126</v>
          </cell>
          <cell r="E805" t="str">
            <v>VIA CURTATONE E  MONTANARA, 1</v>
          </cell>
          <cell r="F805">
            <v>21057</v>
          </cell>
          <cell r="G805" t="str">
            <v>OLGIATE OLONA</v>
          </cell>
          <cell r="H805" t="str">
            <v>VA</v>
          </cell>
          <cell r="I805" t="str">
            <v>ITALIA</v>
          </cell>
          <cell r="J805" t="str">
            <v>0331-376182</v>
          </cell>
        </row>
        <row r="806">
          <cell r="B806">
            <v>4348</v>
          </cell>
          <cell r="C806" t="str">
            <v>DAVIDE CAFFE' DI  PILLA DAVIDE</v>
          </cell>
          <cell r="D806" t="str">
            <v>03459020131 PLLDVD85L09C933 M</v>
          </cell>
          <cell r="E806" t="str">
            <v>VIA FRANCESCO  DAVERIO, 12</v>
          </cell>
          <cell r="F806">
            <v>22063</v>
          </cell>
          <cell r="G806" t="str">
            <v>CANTU'</v>
          </cell>
          <cell r="H806" t="str">
            <v>CO</v>
          </cell>
          <cell r="I806" t="str">
            <v>ITALIA</v>
          </cell>
          <cell r="J806" t="str">
            <v>348-3209486</v>
          </cell>
        </row>
        <row r="807">
          <cell r="B807">
            <v>4425</v>
          </cell>
          <cell r="C807" t="str">
            <v>DAVIDE CAMPARI  MILANO SPA</v>
          </cell>
          <cell r="D807" t="str">
            <v>06672120158 06672120158</v>
          </cell>
          <cell r="E807" t="str">
            <v>VIA FRANCO SACCHETTI,  20</v>
          </cell>
          <cell r="F807">
            <v>20099</v>
          </cell>
          <cell r="G807" t="str">
            <v>SESTO SAN  GIOVANNI</v>
          </cell>
          <cell r="H807" t="str">
            <v>MI</v>
          </cell>
          <cell r="I807" t="str">
            <v>ITALIA</v>
          </cell>
          <cell r="J807" t="str">
            <v>02-62251</v>
          </cell>
        </row>
        <row r="808">
          <cell r="B808">
            <v>4605</v>
          </cell>
          <cell r="C808" t="str">
            <v>DAVIDE GUASTALLA</v>
          </cell>
          <cell r="D808" t="str">
            <v>04315220964 GSTDDM73M27F205 T</v>
          </cell>
          <cell r="E808" t="str">
            <v>VIA STRAPERA, 7</v>
          </cell>
          <cell r="F808">
            <v>21052</v>
          </cell>
          <cell r="G808" t="str">
            <v>BUSTO ARSIZIO</v>
          </cell>
          <cell r="H808" t="str">
            <v>VA</v>
          </cell>
          <cell r="I808" t="str">
            <v>ITALIA</v>
          </cell>
          <cell r="J808" t="str">
            <v>333-6279870</v>
          </cell>
        </row>
        <row r="809">
          <cell r="B809">
            <v>10223</v>
          </cell>
          <cell r="C809" t="str">
            <v>DBZ S.R.L. - A SOCIO UNICO</v>
          </cell>
          <cell r="E809" t="str">
            <v>VIA CAL LONGA, 17/C</v>
          </cell>
          <cell r="F809">
            <v>30028</v>
          </cell>
          <cell r="G809" t="str">
            <v>VAZZOLA</v>
          </cell>
          <cell r="H809" t="str">
            <v>TV</v>
          </cell>
          <cell r="I809" t="str">
            <v>ITALIA</v>
          </cell>
          <cell r="J809" t="str">
            <v>0348-450314</v>
          </cell>
        </row>
        <row r="810">
          <cell r="B810">
            <v>7295</v>
          </cell>
          <cell r="C810" t="str">
            <v>DE BIASIO DIEGO</v>
          </cell>
          <cell r="D810" t="str">
            <v>DBSDGI58A02H379 L</v>
          </cell>
          <cell r="E810" t="str">
            <v>VIA GIUSEPPE BUSIN 11</v>
          </cell>
          <cell r="F810">
            <v>32020</v>
          </cell>
          <cell r="G810" t="str">
            <v>FALCADE</v>
          </cell>
          <cell r="H810" t="str">
            <v>BL</v>
          </cell>
          <cell r="I810" t="str">
            <v>ITALIA</v>
          </cell>
          <cell r="J810" t="str">
            <v>339-2844631</v>
          </cell>
        </row>
        <row r="811">
          <cell r="B811">
            <v>4638</v>
          </cell>
          <cell r="C811" t="str">
            <v>DE LAGE LANDEN  INTERNATIONAL BV</v>
          </cell>
          <cell r="D811" t="str">
            <v>05850690966 97116600152</v>
          </cell>
          <cell r="E811" t="str">
            <v>VIALE DELL'  INNOVAZIONE, 3</v>
          </cell>
          <cell r="F811">
            <v>20126</v>
          </cell>
          <cell r="G811" t="str">
            <v>MILANO</v>
          </cell>
          <cell r="H811" t="str">
            <v>MI</v>
          </cell>
          <cell r="I811" t="str">
            <v>ITALIA</v>
          </cell>
          <cell r="J811" t="str">
            <v>333-8425390</v>
          </cell>
        </row>
        <row r="812">
          <cell r="B812">
            <v>7535</v>
          </cell>
          <cell r="C812" t="str">
            <v>DE LUCA ANTONIO</v>
          </cell>
          <cell r="D812" t="str">
            <v>DLCNTN59L10H501 H</v>
          </cell>
          <cell r="E812" t="str">
            <v>STRADA BARAZZETTO  VANDORNO, 126</v>
          </cell>
          <cell r="F812">
            <v>13900</v>
          </cell>
          <cell r="G812" t="str">
            <v>BIELLA</v>
          </cell>
          <cell r="H812" t="str">
            <v>BI</v>
          </cell>
          <cell r="I812" t="str">
            <v>ITALIA</v>
          </cell>
          <cell r="J812" t="str">
            <v>335-276312</v>
          </cell>
        </row>
        <row r="813">
          <cell r="B813">
            <v>7006</v>
          </cell>
          <cell r="C813" t="str">
            <v>DE MARTINI FABIO</v>
          </cell>
          <cell r="D813" t="str">
            <v>DMRFBA82P29A518 I</v>
          </cell>
          <cell r="E813" t="str">
            <v>VIA UMBERTO I, 158</v>
          </cell>
          <cell r="F813">
            <v>10060</v>
          </cell>
          <cell r="G813" t="str">
            <v>PISCINA</v>
          </cell>
          <cell r="H813" t="str">
            <v>TO</v>
          </cell>
          <cell r="I813" t="str">
            <v>ITALIA</v>
          </cell>
          <cell r="J813" t="str">
            <v>339-6696652</v>
          </cell>
        </row>
        <row r="814">
          <cell r="B814">
            <v>7522</v>
          </cell>
          <cell r="C814" t="str">
            <v>DE NICOLA LARISSA</v>
          </cell>
          <cell r="D814" t="str">
            <v>DNCLSS97M67G482 H</v>
          </cell>
          <cell r="E814" t="str">
            <v>STRADA COLLE RENAZZO  56</v>
          </cell>
          <cell r="F814">
            <v>65129</v>
          </cell>
          <cell r="G814" t="str">
            <v>PESCARA</v>
          </cell>
          <cell r="H814" t="str">
            <v>PE</v>
          </cell>
          <cell r="I814" t="str">
            <v>ITALIA</v>
          </cell>
          <cell r="J814" t="str">
            <v>340-3464909</v>
          </cell>
        </row>
        <row r="815">
          <cell r="B815">
            <v>6717</v>
          </cell>
          <cell r="C815" t="str">
            <v>DE SANTIS  ANDREA</v>
          </cell>
          <cell r="D815" t="str">
            <v>03410100139 DSNNDR80R11A783 M</v>
          </cell>
          <cell r="E815" t="str">
            <v>VIA MONTE GRAPPA, 27</v>
          </cell>
          <cell r="F815">
            <v>21049</v>
          </cell>
          <cell r="G815" t="str">
            <v>TRADATE</v>
          </cell>
          <cell r="H815" t="str">
            <v>VA</v>
          </cell>
          <cell r="I815" t="str">
            <v>ITALIA</v>
          </cell>
          <cell r="J815" t="str">
            <v>388-7512005</v>
          </cell>
        </row>
        <row r="816">
          <cell r="B816">
            <v>3057</v>
          </cell>
          <cell r="C816" t="str">
            <v>DE SANTO MICHELE</v>
          </cell>
          <cell r="D816" t="str">
            <v>06672840011 DSNMHL65S17L219 R</v>
          </cell>
          <cell r="E816" t="str">
            <v>VIA TORINO, 120</v>
          </cell>
          <cell r="F816">
            <v>10040</v>
          </cell>
          <cell r="G816" t="str">
            <v>LEINI'</v>
          </cell>
          <cell r="H816" t="str">
            <v>TO</v>
          </cell>
          <cell r="I816" t="str">
            <v>ITALIA</v>
          </cell>
          <cell r="J816" t="str">
            <v>335-5652411</v>
          </cell>
        </row>
        <row r="817">
          <cell r="B817">
            <v>4290</v>
          </cell>
          <cell r="C817" t="str">
            <v>DE SANTO S.R.L.</v>
          </cell>
          <cell r="D817" t="str">
            <v>10846830015 10846830015</v>
          </cell>
          <cell r="E817" t="str">
            <v>VIA REISS ROMOLI, 160/C</v>
          </cell>
          <cell r="F817">
            <v>10148</v>
          </cell>
          <cell r="G817" t="str">
            <v>TORINO</v>
          </cell>
          <cell r="H817" t="str">
            <v>TO</v>
          </cell>
          <cell r="I817" t="str">
            <v>ITALIA</v>
          </cell>
          <cell r="J817" t="str">
            <v>011-2262620</v>
          </cell>
        </row>
        <row r="818">
          <cell r="B818">
            <v>7024</v>
          </cell>
          <cell r="C818" t="str">
            <v>DE VITA ROSARIO</v>
          </cell>
          <cell r="D818" t="str">
            <v>DVTRSR75R07F111 L</v>
          </cell>
          <cell r="E818" t="str">
            <v>VICOLO ORTO, 17</v>
          </cell>
          <cell r="F818">
            <v>62024</v>
          </cell>
          <cell r="G818" t="str">
            <v>MATELICA</v>
          </cell>
          <cell r="H818" t="str">
            <v>MC</v>
          </cell>
          <cell r="I818" t="str">
            <v>ITALIA</v>
          </cell>
          <cell r="J818" t="str">
            <v>333-7625371</v>
          </cell>
        </row>
        <row r="819">
          <cell r="B819">
            <v>4845</v>
          </cell>
          <cell r="C819" t="str">
            <v>DEGAMA S.R.L.</v>
          </cell>
          <cell r="D819" t="str">
            <v>02013730060 02013730060</v>
          </cell>
          <cell r="E819" t="str">
            <v>VIA CASALE, 23 - S.S. 31</v>
          </cell>
          <cell r="F819">
            <v>15040</v>
          </cell>
          <cell r="G819" t="str">
            <v>OCCIMIANO</v>
          </cell>
          <cell r="H819" t="str">
            <v>AL</v>
          </cell>
          <cell r="I819" t="str">
            <v>ITALIA</v>
          </cell>
          <cell r="J819" t="str">
            <v>0142-276347</v>
          </cell>
        </row>
        <row r="820">
          <cell r="B820">
            <v>4172</v>
          </cell>
          <cell r="C820" t="str">
            <v>DEITECH S.R.L.  UNINOMINALE</v>
          </cell>
          <cell r="D820" t="str">
            <v>08478500013 08478500013</v>
          </cell>
          <cell r="E820" t="str">
            <v>VIA SANSOVINO, 242</v>
          </cell>
          <cell r="F820">
            <v>10151</v>
          </cell>
          <cell r="G820" t="str">
            <v>TORINO</v>
          </cell>
          <cell r="H820" t="str">
            <v>TO</v>
          </cell>
          <cell r="I820" t="str">
            <v>ITALIA</v>
          </cell>
          <cell r="J820" t="str">
            <v xml:space="preserve">011-701254 </v>
          </cell>
        </row>
        <row r="821">
          <cell r="B821">
            <v>4683</v>
          </cell>
          <cell r="C821" t="str">
            <v>DEL SOLE CINZIA</v>
          </cell>
          <cell r="D821" t="str">
            <v>DLSCNZ67B68L682 H</v>
          </cell>
          <cell r="E821" t="str">
            <v>VIA ROMA, 1/A</v>
          </cell>
          <cell r="F821">
            <v>21023</v>
          </cell>
          <cell r="G821" t="str">
            <v>BESOZZO</v>
          </cell>
          <cell r="H821" t="str">
            <v>VA</v>
          </cell>
          <cell r="I821" t="str">
            <v>ITALIA</v>
          </cell>
        </row>
        <row r="822">
          <cell r="B822">
            <v>6444</v>
          </cell>
          <cell r="C822" t="str">
            <v>DELBALZO  GIUSEPPE &amp; C. SAS</v>
          </cell>
          <cell r="D822" t="str">
            <v>00198280091 00198280091</v>
          </cell>
          <cell r="E822" t="str">
            <v>VIA AURELIA, 488/1</v>
          </cell>
          <cell r="F822">
            <v>17025</v>
          </cell>
          <cell r="G822" t="str">
            <v>LOANO</v>
          </cell>
          <cell r="H822" t="str">
            <v>SV</v>
          </cell>
          <cell r="I822" t="str">
            <v>ITALIA</v>
          </cell>
          <cell r="J822" t="str">
            <v>019-672491</v>
          </cell>
        </row>
        <row r="823">
          <cell r="B823">
            <v>6493</v>
          </cell>
          <cell r="C823" t="str">
            <v>DELIVERY DI  AIMAR LOREDANA</v>
          </cell>
          <cell r="D823" t="str">
            <v>11752720018 MRALDN60L59L219 U</v>
          </cell>
          <cell r="E823" t="str">
            <v>VIA CARLO PISACANE, 1</v>
          </cell>
          <cell r="F823">
            <v>10127</v>
          </cell>
          <cell r="G823" t="str">
            <v>TORINO</v>
          </cell>
          <cell r="H823" t="str">
            <v>TO</v>
          </cell>
          <cell r="I823" t="str">
            <v>ITALIA</v>
          </cell>
          <cell r="J823" t="str">
            <v>339-3329589</v>
          </cell>
        </row>
        <row r="824">
          <cell r="B824">
            <v>4014</v>
          </cell>
          <cell r="C824" t="str">
            <v>DELIVERY DI  GHIGO GIUSEPPE</v>
          </cell>
          <cell r="D824" t="str">
            <v>10541940010 GHGGPP66E31G674 B</v>
          </cell>
          <cell r="E824" t="str">
            <v>VIA SILVIO PELLICO, 31</v>
          </cell>
          <cell r="F824">
            <v>10125</v>
          </cell>
          <cell r="G824" t="str">
            <v>TORINO</v>
          </cell>
          <cell r="H824" t="str">
            <v>TO</v>
          </cell>
          <cell r="I824" t="str">
            <v>ITALIA</v>
          </cell>
          <cell r="J824" t="str">
            <v>339-3329589</v>
          </cell>
        </row>
        <row r="825">
          <cell r="B825">
            <v>6834</v>
          </cell>
          <cell r="C825" t="str">
            <v>DELIVERY DI GHIGO  GIUSEPPE</v>
          </cell>
          <cell r="D825" t="str">
            <v>12093630015 GHGGPP66E31G674 B</v>
          </cell>
          <cell r="E825" t="str">
            <v>VIA SILVIO PELLICO, 31</v>
          </cell>
          <cell r="F825">
            <v>10100</v>
          </cell>
          <cell r="G825" t="str">
            <v>TORINO</v>
          </cell>
          <cell r="H825" t="str">
            <v>TO</v>
          </cell>
          <cell r="I825" t="str">
            <v>ITALIA</v>
          </cell>
          <cell r="J825" t="str">
            <v>328-1213203</v>
          </cell>
        </row>
        <row r="826">
          <cell r="B826">
            <v>7427</v>
          </cell>
          <cell r="C826" t="str">
            <v>DELLA MAESTRA  DAVID</v>
          </cell>
          <cell r="D826" t="str">
            <v>DLLDVD86C09L483 U</v>
          </cell>
          <cell r="E826" t="str">
            <v>VIA PLASENCIS, 30</v>
          </cell>
          <cell r="F826">
            <v>33030</v>
          </cell>
          <cell r="G826" t="str">
            <v>SAN VITO DI  FAGAGNA</v>
          </cell>
          <cell r="H826" t="str">
            <v>UD</v>
          </cell>
          <cell r="I826" t="str">
            <v>ITALIA</v>
          </cell>
          <cell r="J826" t="str">
            <v>333-3530148</v>
          </cell>
        </row>
        <row r="827">
          <cell r="B827">
            <v>7263</v>
          </cell>
          <cell r="C827" t="str">
            <v>DELMONTE GRETA</v>
          </cell>
          <cell r="D827" t="str">
            <v>02868390358</v>
          </cell>
          <cell r="E827" t="str">
            <v>VIA PIOPPA 26/ 3</v>
          </cell>
          <cell r="F827">
            <v>42012</v>
          </cell>
          <cell r="G827" t="str">
            <v>BAGNOLO IN  PIANO</v>
          </cell>
          <cell r="H827" t="str">
            <v>RE</v>
          </cell>
          <cell r="I827" t="str">
            <v>ITALIA</v>
          </cell>
          <cell r="J827" t="str">
            <v>347-0715253</v>
          </cell>
        </row>
        <row r="828">
          <cell r="B828">
            <v>4536</v>
          </cell>
          <cell r="C828" t="str">
            <v>DELPIETRO FABIO  LUIGI</v>
          </cell>
          <cell r="D828" t="str">
            <v>03500970961 DLPFLG74C06F205 W</v>
          </cell>
          <cell r="E828" t="str">
            <v>VIA F. ANDO', 2</v>
          </cell>
          <cell r="F828">
            <v>20156</v>
          </cell>
          <cell r="G828" t="str">
            <v>MILANO</v>
          </cell>
          <cell r="H828" t="str">
            <v>MI</v>
          </cell>
          <cell r="I828" t="str">
            <v>ITALIA</v>
          </cell>
          <cell r="J828" t="str">
            <v>349-4662322</v>
          </cell>
        </row>
        <row r="829">
          <cell r="B829">
            <v>5701</v>
          </cell>
          <cell r="C829" t="str">
            <v>DELTA S.A.S.</v>
          </cell>
          <cell r="D829" t="str">
            <v>00235600046 00235600046</v>
          </cell>
          <cell r="E829" t="str">
            <v>VIA TORINO, 53</v>
          </cell>
          <cell r="F829">
            <v>12084</v>
          </cell>
          <cell r="G829" t="str">
            <v>MONDOVI'</v>
          </cell>
          <cell r="H829" t="str">
            <v>CN</v>
          </cell>
          <cell r="I829" t="str">
            <v>ITALIA</v>
          </cell>
          <cell r="J829" t="str">
            <v>0174-42325</v>
          </cell>
        </row>
        <row r="830">
          <cell r="B830">
            <v>4549</v>
          </cell>
          <cell r="C830" t="str">
            <v>DEMA VENDING S.R. L.</v>
          </cell>
          <cell r="D830" t="str">
            <v>01542020191 01542020191</v>
          </cell>
          <cell r="E830" t="str">
            <v>VIA DEL COMMERCIO,14/16</v>
          </cell>
          <cell r="F830">
            <v>25030</v>
          </cell>
          <cell r="G830" t="str">
            <v>ORZIVECCHI</v>
          </cell>
          <cell r="H830" t="str">
            <v>BS</v>
          </cell>
          <cell r="I830" t="str">
            <v>ITALIA</v>
          </cell>
          <cell r="J830" t="str">
            <v>340-6384718</v>
          </cell>
        </row>
        <row r="831">
          <cell r="B831">
            <v>4881</v>
          </cell>
          <cell r="C831" t="str">
            <v>DEMOMATIC S.A.</v>
          </cell>
          <cell r="D831" t="str">
            <v>114842388</v>
          </cell>
          <cell r="E831" t="str">
            <v>VIA PASSEGGIATA, 7</v>
          </cell>
          <cell r="F831">
            <v>6883</v>
          </cell>
          <cell r="G831" t="str">
            <v>NOVAZZANO -  SVIZZERA -</v>
          </cell>
          <cell r="I831" t="str">
            <v>SVIZZERA</v>
          </cell>
          <cell r="J831" t="str">
            <v xml:space="preserve">0041-916954151 </v>
          </cell>
        </row>
        <row r="832">
          <cell r="B832">
            <v>4997</v>
          </cell>
          <cell r="C832" t="str">
            <v>DENIMARCOFFEE DI  SALVATORE COZZO</v>
          </cell>
          <cell r="D832" t="str">
            <v>06611540961 CZZSVT66B06G273 F</v>
          </cell>
          <cell r="E832" t="str">
            <v>VIA ROGGIA NUOVA, 5/7</v>
          </cell>
          <cell r="F832">
            <v>20083</v>
          </cell>
          <cell r="G832" t="str">
            <v>GAGGIANO</v>
          </cell>
          <cell r="H832" t="str">
            <v>MI</v>
          </cell>
          <cell r="I832" t="str">
            <v>ITALIA</v>
          </cell>
          <cell r="J832" t="str">
            <v xml:space="preserve">02-9086889 </v>
          </cell>
        </row>
        <row r="833">
          <cell r="B833">
            <v>7489</v>
          </cell>
          <cell r="C833" t="str">
            <v>DENTE CLAUDIO</v>
          </cell>
          <cell r="D833" t="str">
            <v>DNTCLD64T19H501 O</v>
          </cell>
          <cell r="E833" t="str">
            <v>VIA CASTELMONTE 12</v>
          </cell>
          <cell r="F833">
            <v>142</v>
          </cell>
          <cell r="G833" t="str">
            <v>ROMA</v>
          </cell>
          <cell r="H833" t="str">
            <v>RM</v>
          </cell>
          <cell r="I833" t="str">
            <v>ITALIA</v>
          </cell>
          <cell r="J833" t="str">
            <v>340-1275879</v>
          </cell>
        </row>
        <row r="834">
          <cell r="B834">
            <v>4452</v>
          </cell>
          <cell r="C834" t="str">
            <v>DESIDERIO CAFFE'  DI CLEMENTE  FABRIANI</v>
          </cell>
          <cell r="D834" t="str">
            <v>09395861009 FBRCMN76B06H501 J</v>
          </cell>
          <cell r="E834" t="str">
            <v>VIA MONTE ROSA, 2</v>
          </cell>
          <cell r="F834">
            <v>36</v>
          </cell>
          <cell r="G834" t="str">
            <v>CARCHITTI -  PALESTRINA</v>
          </cell>
          <cell r="H834" t="str">
            <v>RM</v>
          </cell>
          <cell r="I834" t="str">
            <v>ITALIA</v>
          </cell>
          <cell r="J834" t="str">
            <v>06-9586639</v>
          </cell>
        </row>
        <row r="835">
          <cell r="B835">
            <v>8093</v>
          </cell>
          <cell r="C835" t="str">
            <v>DESKTOO ITALIA S.R.L.</v>
          </cell>
          <cell r="E835" t="str">
            <v>VIA DOGANA PO' 2/A - MAGAZZINO M</v>
          </cell>
          <cell r="F835">
            <v>29015</v>
          </cell>
          <cell r="G835" t="str">
            <v>CASTEL SAN GIOVANNI</v>
          </cell>
          <cell r="H835" t="str">
            <v>PC</v>
          </cell>
          <cell r="I835" t="str">
            <v>ITALIA</v>
          </cell>
          <cell r="J835" t="str">
            <v>0523-1798756</v>
          </cell>
        </row>
        <row r="836">
          <cell r="B836">
            <v>4801</v>
          </cell>
          <cell r="C836" t="str">
            <v>DFA 75  ROASTMATIC DI  FINELLO  ALESSANDRO</v>
          </cell>
          <cell r="D836" t="str">
            <v>09796240019 FNLLSN75C24G674L</v>
          </cell>
          <cell r="E836" t="str">
            <v>VIA TORINO, 11</v>
          </cell>
          <cell r="F836">
            <v>10040</v>
          </cell>
          <cell r="G836" t="str">
            <v>CUMIANA</v>
          </cell>
          <cell r="H836" t="str">
            <v>TO</v>
          </cell>
          <cell r="I836" t="str">
            <v>ITALIA</v>
          </cell>
          <cell r="J836" t="str">
            <v xml:space="preserve">011-9909300 </v>
          </cell>
        </row>
        <row r="837">
          <cell r="B837">
            <v>4825</v>
          </cell>
          <cell r="C837" t="str">
            <v>DFS DUTY FREE  SUPPLIES &amp;  SERVICES SRL</v>
          </cell>
          <cell r="D837" t="str">
            <v>03868840103 03868840103</v>
          </cell>
          <cell r="E837" t="str">
            <v>VIA PIONIERI AVIATORI  ITALIA, 1</v>
          </cell>
          <cell r="F837">
            <v>16154</v>
          </cell>
          <cell r="G837" t="str">
            <v>GENOVA  AEREOPORTO</v>
          </cell>
          <cell r="H837" t="str">
            <v>GE</v>
          </cell>
          <cell r="I837" t="str">
            <v>ITALIA</v>
          </cell>
          <cell r="J837"/>
        </row>
        <row r="838">
          <cell r="B838">
            <v>2810</v>
          </cell>
          <cell r="C838" t="str">
            <v>DI + DI  SCRINZO DIEGO</v>
          </cell>
          <cell r="D838" t="str">
            <v>09546040016 SCRDGI53T12L165 K</v>
          </cell>
          <cell r="E838" t="str">
            <v>VIA P. BOSSATTI, 16</v>
          </cell>
          <cell r="F838">
            <v>10010</v>
          </cell>
          <cell r="G838" t="str">
            <v>RUEGLIO</v>
          </cell>
          <cell r="H838" t="str">
            <v>TO</v>
          </cell>
          <cell r="I838" t="str">
            <v>ITALIA</v>
          </cell>
          <cell r="J838" t="str">
            <v>0125-780212</v>
          </cell>
        </row>
        <row r="839">
          <cell r="B839">
            <v>4531</v>
          </cell>
          <cell r="C839" t="str">
            <v>DI CATALDO  COSIMO</v>
          </cell>
          <cell r="D839" t="str">
            <v>05414150010 DCTCSM59M15E397 K</v>
          </cell>
          <cell r="E839" t="str">
            <v>VIA MONFALCONE, 129</v>
          </cell>
          <cell r="F839">
            <v>10100</v>
          </cell>
          <cell r="G839" t="str">
            <v>TORINO</v>
          </cell>
          <cell r="H839" t="str">
            <v>TO</v>
          </cell>
          <cell r="I839" t="str">
            <v>ITALIA</v>
          </cell>
          <cell r="J839" t="str">
            <v>011-357218</v>
          </cell>
        </row>
        <row r="840">
          <cell r="B840">
            <v>9410</v>
          </cell>
          <cell r="C840" t="str">
            <v>DI CESAREO IVANO NICOLA</v>
          </cell>
          <cell r="E840" t="str">
            <v>VIA MICHELINO DA BESOZZO, 6</v>
          </cell>
          <cell r="F840">
            <v>20155</v>
          </cell>
          <cell r="G840" t="str">
            <v>MILANO</v>
          </cell>
          <cell r="H840" t="str">
            <v>MI</v>
          </cell>
          <cell r="I840" t="str">
            <v>ITALIA</v>
          </cell>
        </row>
        <row r="841">
          <cell r="B841">
            <v>7095</v>
          </cell>
          <cell r="C841" t="str">
            <v>DI FAZIO SILVIA</v>
          </cell>
          <cell r="D841" t="str">
            <v>DFZSLV72E58F205X</v>
          </cell>
          <cell r="E841" t="str">
            <v>PIAZZA DELLA  RESISTENZA, 9</v>
          </cell>
          <cell r="F841">
            <v>20019</v>
          </cell>
          <cell r="G841" t="str">
            <v>SETTIMO  MILANESE</v>
          </cell>
          <cell r="H841" t="str">
            <v>MI</v>
          </cell>
          <cell r="I841" t="str">
            <v>ITALIA</v>
          </cell>
          <cell r="J841" t="str">
            <v>338-5621187</v>
          </cell>
        </row>
        <row r="842">
          <cell r="B842">
            <v>7050</v>
          </cell>
          <cell r="C842" t="str">
            <v>DI GESTO FABRIZIO</v>
          </cell>
          <cell r="D842" t="str">
            <v>DGSFRZ75B22F839 K</v>
          </cell>
          <cell r="E842" t="str">
            <v>VIA STEPHENSON, 32L</v>
          </cell>
          <cell r="F842">
            <v>20019</v>
          </cell>
          <cell r="G842" t="str">
            <v>SETTIMO  MILANESE</v>
          </cell>
          <cell r="H842" t="str">
            <v>MI</v>
          </cell>
          <cell r="I842" t="str">
            <v>ITALIA</v>
          </cell>
          <cell r="J842" t="str">
            <v>334-7123675</v>
          </cell>
        </row>
        <row r="843">
          <cell r="B843">
            <v>6978</v>
          </cell>
          <cell r="C843" t="str">
            <v>DI GIOIA GIOVANNI</v>
          </cell>
          <cell r="D843" t="str">
            <v>01659630089 DGIGNN61S29L447 H</v>
          </cell>
          <cell r="E843" t="str">
            <v>VIA AURELIA PON. 226</v>
          </cell>
          <cell r="F843">
            <v>18018</v>
          </cell>
          <cell r="G843" t="str">
            <v>ARMA DI TAGGIA</v>
          </cell>
          <cell r="H843" t="str">
            <v>IM</v>
          </cell>
          <cell r="I843" t="str">
            <v>ITALIA</v>
          </cell>
          <cell r="J843" t="str">
            <v>324-6068278</v>
          </cell>
        </row>
        <row r="844">
          <cell r="B844">
            <v>4766</v>
          </cell>
          <cell r="C844" t="str">
            <v>DI GROTTOLE FABIO</v>
          </cell>
          <cell r="D844" t="str">
            <v>10046280011 DGRFBA81E26L219 G</v>
          </cell>
          <cell r="E844" t="str">
            <v>VIA EMANUEL, 20/C</v>
          </cell>
          <cell r="F844">
            <v>10137</v>
          </cell>
          <cell r="G844" t="str">
            <v>TORINO</v>
          </cell>
          <cell r="H844" t="str">
            <v>TO</v>
          </cell>
          <cell r="I844" t="str">
            <v>ITALIA</v>
          </cell>
          <cell r="J844" t="str">
            <v>340-5048987</v>
          </cell>
        </row>
        <row r="845">
          <cell r="B845">
            <v>6837</v>
          </cell>
          <cell r="C845" t="str">
            <v>DI LONARDO PAOLO</v>
          </cell>
          <cell r="D845" t="str">
            <v>02603630068 DLNPLA79D26B885 S</v>
          </cell>
          <cell r="E845" t="str">
            <v>VIA LIUTPRANDO, 16</v>
          </cell>
          <cell r="F845">
            <v>15033</v>
          </cell>
          <cell r="G845" t="str">
            <v>CASALE  MONFERRATO</v>
          </cell>
          <cell r="H845" t="str">
            <v>AL</v>
          </cell>
          <cell r="I845" t="str">
            <v>ITALIA</v>
          </cell>
          <cell r="J845" t="str">
            <v>333-6735992</v>
          </cell>
        </row>
        <row r="846">
          <cell r="B846">
            <v>7067</v>
          </cell>
          <cell r="C846" t="str">
            <v>DI MAGLIE  TOMMASO</v>
          </cell>
          <cell r="D846" t="str">
            <v>DMGTMS60B09L049 G</v>
          </cell>
          <cell r="E846" t="str">
            <v>VIA FRATELLI GRIFFI, 4</v>
          </cell>
          <cell r="F846">
            <v>74015</v>
          </cell>
          <cell r="G846" t="str">
            <v>MARTINA  FRANCA</v>
          </cell>
          <cell r="H846" t="str">
            <v>TA</v>
          </cell>
          <cell r="I846" t="str">
            <v>ITALIA</v>
          </cell>
          <cell r="J846" t="str">
            <v>368-7602229</v>
          </cell>
        </row>
        <row r="847">
          <cell r="B847">
            <v>7327</v>
          </cell>
          <cell r="C847" t="str">
            <v>DI MARCO  ALESSANDRO</v>
          </cell>
          <cell r="D847" t="str">
            <v>DMRLSN65E19L182I</v>
          </cell>
          <cell r="E847" t="str">
            <v>VIA ALTO ADIGE 17</v>
          </cell>
          <cell r="F847">
            <v>19</v>
          </cell>
          <cell r="G847" t="str">
            <v>TIVOLI</v>
          </cell>
          <cell r="H847" t="str">
            <v>RM</v>
          </cell>
          <cell r="I847" t="str">
            <v>ITALIA</v>
          </cell>
          <cell r="J847" t="str">
            <v>338-9706414</v>
          </cell>
        </row>
        <row r="848">
          <cell r="B848">
            <v>7265</v>
          </cell>
          <cell r="C848" t="str">
            <v>DI MARIA  SALVATORE</v>
          </cell>
          <cell r="D848" t="str">
            <v>DMRSVT91A03A522 U</v>
          </cell>
          <cell r="E848" t="str">
            <v>VIA GORIZIA 95</v>
          </cell>
          <cell r="F848">
            <v>47122</v>
          </cell>
          <cell r="G848" t="str">
            <v>FORLI'</v>
          </cell>
          <cell r="H848" t="str">
            <v>FC</v>
          </cell>
          <cell r="I848" t="str">
            <v>ITALIA</v>
          </cell>
          <cell r="J848" t="str">
            <v>389-9135881</v>
          </cell>
        </row>
        <row r="849">
          <cell r="B849">
            <v>6659</v>
          </cell>
          <cell r="C849" t="str">
            <v>DI MARTINO  GIACOMO</v>
          </cell>
          <cell r="D849" t="str">
            <v>04525600013 DMRGCM63C16B42 8Q</v>
          </cell>
          <cell r="E849" t="str">
            <v>VIA L. DA VINCI, 40</v>
          </cell>
          <cell r="F849">
            <v>10126</v>
          </cell>
          <cell r="G849" t="str">
            <v>TORINO</v>
          </cell>
          <cell r="H849" t="str">
            <v>TO</v>
          </cell>
          <cell r="I849" t="str">
            <v>ITALIA</v>
          </cell>
          <cell r="J849" t="str">
            <v>330-212667</v>
          </cell>
        </row>
        <row r="850">
          <cell r="B850">
            <v>4906</v>
          </cell>
          <cell r="C850" t="str">
            <v>DI MICELI MAURIZIO</v>
          </cell>
          <cell r="D850" t="str">
            <v>02518500067 DMCMRZ72R18B88 5B</v>
          </cell>
          <cell r="E850" t="str">
            <v>VIA MANZONI, 26</v>
          </cell>
          <cell r="F850">
            <v>15033</v>
          </cell>
          <cell r="G850" t="str">
            <v>CASALE  MONFERRATO</v>
          </cell>
          <cell r="H850" t="str">
            <v>AL</v>
          </cell>
          <cell r="I850" t="str">
            <v>ITALIA</v>
          </cell>
          <cell r="J850" t="str">
            <v>366-6032193</v>
          </cell>
        </row>
        <row r="851">
          <cell r="B851">
            <v>8885</v>
          </cell>
          <cell r="C851" t="str">
            <v>DI QUARTO DANIELA</v>
          </cell>
          <cell r="E851" t="str">
            <v>VIA PADRE LUIGI MONTI, 10</v>
          </cell>
          <cell r="F851">
            <v>21047</v>
          </cell>
          <cell r="G851" t="str">
            <v>SARONNO</v>
          </cell>
          <cell r="H851" t="str">
            <v>VA</v>
          </cell>
          <cell r="I851" t="str">
            <v>ITALIA</v>
          </cell>
          <cell r="J851" t="str">
            <v>02-25133835</v>
          </cell>
        </row>
        <row r="852">
          <cell r="B852">
            <v>64</v>
          </cell>
          <cell r="C852" t="str">
            <v>DI.BAR S.R.L.</v>
          </cell>
          <cell r="D852" t="str">
            <v>00885220061 00885220061</v>
          </cell>
          <cell r="E852" t="str">
            <v>VIA CACCIOLO, 26</v>
          </cell>
          <cell r="F852">
            <v>15030</v>
          </cell>
          <cell r="G852" t="str">
            <v>TERRUGGIA</v>
          </cell>
          <cell r="H852" t="str">
            <v>AL</v>
          </cell>
          <cell r="I852" t="str">
            <v>ITALIA</v>
          </cell>
          <cell r="J852" t="str">
            <v>0142-561738</v>
          </cell>
        </row>
        <row r="853">
          <cell r="B853">
            <v>2159</v>
          </cell>
          <cell r="C853" t="str">
            <v>DI.DI. DI DIDIER  ANDREA</v>
          </cell>
          <cell r="D853" t="str">
            <v>01367650056 DDRNDR72E22A479 X</v>
          </cell>
          <cell r="E853" t="str">
            <v>VIA BOCCACCIO,  7</v>
          </cell>
          <cell r="F853">
            <v>14100</v>
          </cell>
          <cell r="G853" t="str">
            <v>ASTI</v>
          </cell>
          <cell r="H853" t="str">
            <v>AT</v>
          </cell>
          <cell r="I853" t="str">
            <v>ITALIA</v>
          </cell>
          <cell r="J853" t="str">
            <v>328-7119550</v>
          </cell>
        </row>
        <row r="854">
          <cell r="B854">
            <v>6948</v>
          </cell>
          <cell r="C854" t="str">
            <v>DI.MAG. S.R.L.</v>
          </cell>
          <cell r="D854" t="str">
            <v>04186890655 04186890655</v>
          </cell>
          <cell r="E854" t="str">
            <v>VIA GIOVANNI DA UDINE,  34</v>
          </cell>
          <cell r="F854">
            <v>20156</v>
          </cell>
          <cell r="G854" t="str">
            <v>MILANO</v>
          </cell>
          <cell r="H854" t="str">
            <v>MI</v>
          </cell>
          <cell r="I854" t="str">
            <v>ITALIA</v>
          </cell>
          <cell r="J854" t="str">
            <v>392-4555923</v>
          </cell>
        </row>
        <row r="855">
          <cell r="B855">
            <v>5488</v>
          </cell>
          <cell r="C855" t="str">
            <v>DI-AL S.R.L.</v>
          </cell>
          <cell r="D855" t="str">
            <v>01788740015 01788740015</v>
          </cell>
          <cell r="E855" t="str">
            <v>VIA LEINI', 142</v>
          </cell>
          <cell r="F855">
            <v>10036</v>
          </cell>
          <cell r="G855" t="str">
            <v>SETTIMO  TORINESE</v>
          </cell>
          <cell r="H855" t="str">
            <v>TO</v>
          </cell>
          <cell r="I855" t="str">
            <v>ITALIA</v>
          </cell>
          <cell r="J855" t="str">
            <v>011-8007342</v>
          </cell>
        </row>
        <row r="856">
          <cell r="B856">
            <v>63</v>
          </cell>
          <cell r="C856" t="str">
            <v>DIALL DI LA LOGGIA  MARCO &amp; C. S.N.C.</v>
          </cell>
          <cell r="D856" t="str">
            <v>00801540121 00801540121</v>
          </cell>
          <cell r="E856" t="str">
            <v>VIA IRLANDA, 7</v>
          </cell>
          <cell r="F856">
            <v>21013</v>
          </cell>
          <cell r="G856" t="str">
            <v>GALLARATE</v>
          </cell>
          <cell r="H856" t="str">
            <v>VA</v>
          </cell>
          <cell r="I856" t="str">
            <v>ITALIA</v>
          </cell>
          <cell r="J856" t="str">
            <v>0331-228032</v>
          </cell>
        </row>
        <row r="857">
          <cell r="B857">
            <v>3803</v>
          </cell>
          <cell r="C857" t="str">
            <v>DIAMOND DI  MALACHINA FRANCO</v>
          </cell>
          <cell r="D857" t="str">
            <v>01956720997 MLCFNC71S06D969 B</v>
          </cell>
          <cell r="E857" t="str">
            <v>VIA DI PINO, 34B</v>
          </cell>
          <cell r="F857">
            <v>16138</v>
          </cell>
          <cell r="G857" t="str">
            <v>GENOVA</v>
          </cell>
          <cell r="H857" t="str">
            <v>GE</v>
          </cell>
          <cell r="I857" t="str">
            <v>ITALIA</v>
          </cell>
          <cell r="J857" t="str">
            <v>347-0582844</v>
          </cell>
        </row>
        <row r="858">
          <cell r="B858">
            <v>5908</v>
          </cell>
          <cell r="C858" t="str">
            <v>DICAT SERVICE S.N. C. DI GILARDI  MAURO</v>
          </cell>
          <cell r="D858" t="str">
            <v>06477780016 06477780016</v>
          </cell>
          <cell r="E858" t="str">
            <v>VIA LOCANA, 14</v>
          </cell>
          <cell r="F858">
            <v>10036</v>
          </cell>
          <cell r="G858" t="str">
            <v>SETTIMO  TORINESE</v>
          </cell>
          <cell r="H858" t="str">
            <v>TO</v>
          </cell>
          <cell r="I858" t="str">
            <v>ITALIA</v>
          </cell>
          <cell r="J858" t="str">
            <v>011-8978881</v>
          </cell>
        </row>
        <row r="859">
          <cell r="B859">
            <v>3362</v>
          </cell>
          <cell r="C859" t="str">
            <v>DIELLE SERVICE  S.A.S. DI LUCA  TRONCONI &amp; C.</v>
          </cell>
          <cell r="D859" t="str">
            <v>02387050020 02387050020</v>
          </cell>
          <cell r="E859" t="str">
            <v>VIA CAVOUR, 15</v>
          </cell>
          <cell r="F859">
            <v>21013</v>
          </cell>
          <cell r="G859" t="str">
            <v>GALLARATE</v>
          </cell>
          <cell r="H859" t="str">
            <v>VA</v>
          </cell>
          <cell r="I859" t="str">
            <v>ITALIA</v>
          </cell>
          <cell r="J859" t="str">
            <v>0331-774097</v>
          </cell>
        </row>
        <row r="860">
          <cell r="B860">
            <v>3837</v>
          </cell>
          <cell r="C860" t="str">
            <v>DIESIS S.R.L.</v>
          </cell>
          <cell r="D860" t="str">
            <v>04211660966 04211660966</v>
          </cell>
          <cell r="E860" t="str">
            <v>VIA MONZORO, SNC</v>
          </cell>
          <cell r="F860">
            <v>20010</v>
          </cell>
          <cell r="G860" t="str">
            <v>CORNAREDO</v>
          </cell>
          <cell r="H860" t="str">
            <v>MI</v>
          </cell>
          <cell r="I860" t="str">
            <v>ITALIA</v>
          </cell>
          <cell r="J860" t="str">
            <v>02-33514023</v>
          </cell>
        </row>
        <row r="861">
          <cell r="B861">
            <v>6873</v>
          </cell>
          <cell r="C861" t="str">
            <v>DIESSE SERVICE DI  LICO SIMONE</v>
          </cell>
          <cell r="D861" t="str">
            <v>08827910962</v>
          </cell>
          <cell r="E861" t="str">
            <v>VIA NAZARIO SAURO, 12</v>
          </cell>
          <cell r="F861">
            <v>20032</v>
          </cell>
          <cell r="G861" t="str">
            <v>CORMANO</v>
          </cell>
          <cell r="H861" t="str">
            <v>MI</v>
          </cell>
          <cell r="I861" t="str">
            <v>ITALIA</v>
          </cell>
          <cell r="J861" t="str">
            <v>02-66303933</v>
          </cell>
        </row>
        <row r="862">
          <cell r="B862">
            <v>7076</v>
          </cell>
          <cell r="C862" t="str">
            <v>DINAMIC@SHOP DI  RAIMONDO DI  NAPOLI</v>
          </cell>
          <cell r="D862" t="str">
            <v>09010090968 DNPRND80D19F205 E</v>
          </cell>
          <cell r="E862" t="str">
            <v>VIA FRATELLI BRASCA, 14</v>
          </cell>
          <cell r="F862">
            <v>20883</v>
          </cell>
          <cell r="G862" t="str">
            <v>MEZZAGO</v>
          </cell>
          <cell r="H862" t="str">
            <v>MB</v>
          </cell>
          <cell r="I862" t="str">
            <v>ITALIA</v>
          </cell>
          <cell r="J862" t="str">
            <v>331-7036901</v>
          </cell>
        </row>
        <row r="863">
          <cell r="B863">
            <v>4440</v>
          </cell>
          <cell r="C863" t="str">
            <v>DINAMICAUTO S.A. S.</v>
          </cell>
          <cell r="D863" t="str">
            <v>10883030016 10883030016</v>
          </cell>
          <cell r="E863" t="str">
            <v>VIALE KENNEDY, 304</v>
          </cell>
          <cell r="F863">
            <v>10040</v>
          </cell>
          <cell r="G863" t="str">
            <v>LEINI'</v>
          </cell>
          <cell r="H863" t="str">
            <v>TO</v>
          </cell>
          <cell r="I863" t="str">
            <v>ITALIA</v>
          </cell>
          <cell r="J863" t="str">
            <v>011-9910813</v>
          </cell>
        </row>
        <row r="864">
          <cell r="B864">
            <v>4847</v>
          </cell>
          <cell r="C864" t="str">
            <v>DINDO'S CAFFE' DI  PIRAS  MASSIMILIANO</v>
          </cell>
          <cell r="D864" t="str">
            <v>11356710019 PRSMSM74R11F335 W</v>
          </cell>
          <cell r="E864" t="str">
            <v>VIA SAN SECONDO, 13/C</v>
          </cell>
          <cell r="F864">
            <v>10128</v>
          </cell>
          <cell r="G864" t="str">
            <v>TORINO</v>
          </cell>
          <cell r="H864" t="str">
            <v>TO</v>
          </cell>
          <cell r="I864" t="str">
            <v>ITALIA</v>
          </cell>
          <cell r="J864" t="str">
            <v>338-5020419</v>
          </cell>
        </row>
        <row r="865">
          <cell r="B865">
            <v>6458</v>
          </cell>
          <cell r="C865" t="str">
            <v>DIOMEDEA S.R.L.</v>
          </cell>
          <cell r="D865" t="str">
            <v>01441730700 01441730700</v>
          </cell>
          <cell r="E865" t="str">
            <v>CONTRADA MARINELLE  VECCHIE SNC</v>
          </cell>
          <cell r="F865">
            <v>86042</v>
          </cell>
          <cell r="G865" t="str">
            <v>CAMPOMARINO</v>
          </cell>
          <cell r="H865" t="str">
            <v>CB</v>
          </cell>
          <cell r="I865" t="str">
            <v>ITALIA</v>
          </cell>
        </row>
        <row r="866">
          <cell r="B866">
            <v>7130</v>
          </cell>
          <cell r="C866" t="str">
            <v>DISABATO  CATERINA</v>
          </cell>
          <cell r="D866" t="str">
            <v>DSBCRN74R55A225 L</v>
          </cell>
          <cell r="E866" t="str">
            <v>VIA ALCIDE DE GASPERI  36</v>
          </cell>
          <cell r="F866">
            <v>70022</v>
          </cell>
          <cell r="G866" t="str">
            <v>ALTAMURA</v>
          </cell>
          <cell r="H866" t="str">
            <v>BA</v>
          </cell>
          <cell r="I866" t="str">
            <v>ITALIA</v>
          </cell>
          <cell r="J866" t="str">
            <v>324-8467621</v>
          </cell>
        </row>
        <row r="867">
          <cell r="B867">
            <v>5867</v>
          </cell>
          <cell r="C867" t="str">
            <v>DISPENSER TORINO  S.A.S. DI BERTONE  LUIGI B. &amp; C.</v>
          </cell>
          <cell r="D867" t="str">
            <v>01684700014 01684700014</v>
          </cell>
          <cell r="E867" t="str">
            <v>VIA MASSIMO D'ANTONA,  17</v>
          </cell>
          <cell r="F867">
            <v>10040</v>
          </cell>
          <cell r="G867" t="str">
            <v>FRAZ. PASTA DI  RIVALTA</v>
          </cell>
          <cell r="H867" t="str">
            <v>TO</v>
          </cell>
          <cell r="I867" t="str">
            <v>ITALIA</v>
          </cell>
          <cell r="J867" t="str">
            <v xml:space="preserve">011-9017327 </v>
          </cell>
        </row>
        <row r="868">
          <cell r="B868">
            <v>4136</v>
          </cell>
          <cell r="C868" t="str">
            <v>DISTO DI BOERIS  FABIO</v>
          </cell>
          <cell r="D868" t="str">
            <v>09861100015 BRSFBA64C04L219 B</v>
          </cell>
          <cell r="E868" t="str">
            <v>VIA VILLA CRISTINA, 21</v>
          </cell>
          <cell r="F868">
            <v>10093</v>
          </cell>
          <cell r="G868" t="str">
            <v>COLLEGNO</v>
          </cell>
          <cell r="H868" t="str">
            <v>TO</v>
          </cell>
          <cell r="I868" t="str">
            <v>ITALIA</v>
          </cell>
          <cell r="J868" t="str">
            <v>347-2500794</v>
          </cell>
        </row>
        <row r="869">
          <cell r="B869">
            <v>6549</v>
          </cell>
          <cell r="C869" t="str">
            <v>Distrib. Camporosso S</v>
          </cell>
          <cell r="F869"/>
          <cell r="I869" t="str">
            <v>ITALIA</v>
          </cell>
        </row>
        <row r="870">
          <cell r="B870">
            <v>4449</v>
          </cell>
          <cell r="C870" t="str">
            <v>DISTRIBONTA' S.A. S.</v>
          </cell>
          <cell r="D870" t="str">
            <v>02226790976 02226790976</v>
          </cell>
          <cell r="E870" t="str">
            <v>VIA DELLA LASTRUCCIA,  11/A</v>
          </cell>
          <cell r="F870">
            <v>59100</v>
          </cell>
          <cell r="G870" t="str">
            <v>PRATO</v>
          </cell>
          <cell r="H870" t="str">
            <v>PO</v>
          </cell>
          <cell r="I870" t="str">
            <v>ITALIA</v>
          </cell>
          <cell r="J870" t="str">
            <v>338-2564605</v>
          </cell>
        </row>
        <row r="871">
          <cell r="B871">
            <v>4219</v>
          </cell>
          <cell r="C871" t="str">
            <v>DISTRIBUS S.R.L.</v>
          </cell>
          <cell r="D871" t="str">
            <v>03445530045 03445530045</v>
          </cell>
          <cell r="E871" t="str">
            <v>VIA CAVOUR, 15</v>
          </cell>
          <cell r="F871">
            <v>21013</v>
          </cell>
          <cell r="G871" t="str">
            <v>GALLARATE</v>
          </cell>
          <cell r="H871" t="str">
            <v>CN</v>
          </cell>
          <cell r="I871" t="str">
            <v>ITALIA</v>
          </cell>
          <cell r="J871" t="str">
            <v>335-5360690</v>
          </cell>
        </row>
        <row r="872">
          <cell r="B872">
            <v>4551</v>
          </cell>
          <cell r="C872" t="str">
            <v>DISTRIBUTION SP  DI LO DUCA  STEFANIA</v>
          </cell>
          <cell r="D872" t="str">
            <v>11157990018 LDCSFN92L68E020 M</v>
          </cell>
          <cell r="E872" t="str">
            <v>VIA SCLOPIS, 10</v>
          </cell>
          <cell r="F872">
            <v>10094</v>
          </cell>
          <cell r="G872" t="str">
            <v>GIAVENO</v>
          </cell>
          <cell r="H872" t="str">
            <v>TO</v>
          </cell>
          <cell r="I872" t="str">
            <v>ITALIA</v>
          </cell>
        </row>
        <row r="873">
          <cell r="B873">
            <v>874</v>
          </cell>
          <cell r="C873" t="str">
            <v>DISTRIBUTORI  AUTOMATICI  MAGHETTI S.R.L.</v>
          </cell>
          <cell r="D873" t="str">
            <v>01292280128 01292280128</v>
          </cell>
          <cell r="E873" t="str">
            <v>VIA MANZONI, 59</v>
          </cell>
          <cell r="F873">
            <v>21020</v>
          </cell>
          <cell r="G873" t="str">
            <v>CASCIAGO</v>
          </cell>
          <cell r="H873" t="str">
            <v>VA</v>
          </cell>
          <cell r="I873" t="str">
            <v>ITALIA</v>
          </cell>
          <cell r="J873" t="str">
            <v>0332-222982</v>
          </cell>
        </row>
        <row r="874">
          <cell r="B874">
            <v>4896</v>
          </cell>
          <cell r="C874" t="str">
            <v>DISTRIBUZIONE  BEVANDE C &amp; F. DI  REGENI ALBERTO</v>
          </cell>
          <cell r="D874" t="str">
            <v>01803410933 RGNLRT61S22Z133 M</v>
          </cell>
          <cell r="E874" t="str">
            <v>VIA UNGARESCA, 14</v>
          </cell>
          <cell r="F874">
            <v>33070</v>
          </cell>
          <cell r="G874" t="str">
            <v>BRUGNERA</v>
          </cell>
          <cell r="H874" t="str">
            <v>PN</v>
          </cell>
          <cell r="I874" t="str">
            <v>ITALIA</v>
          </cell>
        </row>
        <row r="875">
          <cell r="B875">
            <v>2163</v>
          </cell>
          <cell r="C875" t="str">
            <v>DISTRIBUZIONE AUTOMATICA DIMO</v>
          </cell>
          <cell r="D875" t="str">
            <v>01082770072 PRGDTR70P14H355 B</v>
          </cell>
          <cell r="E875" t="str">
            <v>VIA COUGNIN, 11</v>
          </cell>
          <cell r="F875">
            <v>11020</v>
          </cell>
          <cell r="G875" t="str">
            <v>HONE</v>
          </cell>
          <cell r="H875" t="str">
            <v>AO</v>
          </cell>
          <cell r="I875" t="str">
            <v>ITALIA</v>
          </cell>
          <cell r="J875" t="str">
            <v xml:space="preserve">0125-834856 </v>
          </cell>
        </row>
        <row r="876">
          <cell r="B876">
            <v>4222</v>
          </cell>
          <cell r="C876" t="str">
            <v>DISTRIBUZIONI  ITALIANE DI PORTA  LUANA</v>
          </cell>
          <cell r="D876" t="str">
            <v>01458910054 PRTLNU79D50F902Z</v>
          </cell>
          <cell r="E876" t="str">
            <v>VIA VALLONE, 4</v>
          </cell>
          <cell r="F876">
            <v>14045</v>
          </cell>
          <cell r="G876" t="str">
            <v>INCISA  SCAPACCINO</v>
          </cell>
          <cell r="H876" t="str">
            <v>AT</v>
          </cell>
          <cell r="I876" t="str">
            <v>ITALIA</v>
          </cell>
        </row>
        <row r="877">
          <cell r="B877">
            <v>6489</v>
          </cell>
          <cell r="C877" t="str">
            <v>DITTA DELLO  IACOVO E.  AUTOLAVAGGI</v>
          </cell>
          <cell r="D877" t="str">
            <v>06586780014 DLLRMN72E19L219 C</v>
          </cell>
          <cell r="E877" t="str">
            <v>VIA COTTOLENGO, 7</v>
          </cell>
          <cell r="F877">
            <v>10061</v>
          </cell>
          <cell r="G877" t="str">
            <v>CAVOUR</v>
          </cell>
          <cell r="H877" t="str">
            <v>TO</v>
          </cell>
          <cell r="I877" t="str">
            <v>ITALIA</v>
          </cell>
        </row>
        <row r="878">
          <cell r="B878">
            <v>3630</v>
          </cell>
          <cell r="C878" t="str">
            <v>DITTA INDIVIDUALE  RAIMONDI FIORELLA</v>
          </cell>
          <cell r="D878" t="str">
            <v>11375810154 RMNFLL59R69F205K</v>
          </cell>
          <cell r="E878" t="str">
            <v>VIALE CERTOSA, 46</v>
          </cell>
          <cell r="F878">
            <v>20155</v>
          </cell>
          <cell r="G878" t="str">
            <v>MILANO</v>
          </cell>
          <cell r="H878" t="str">
            <v>MI</v>
          </cell>
          <cell r="I878" t="str">
            <v>ITALIA</v>
          </cell>
        </row>
        <row r="879">
          <cell r="B879">
            <v>4864</v>
          </cell>
          <cell r="C879" t="str">
            <v>DITTA ION  BUNESCU</v>
          </cell>
          <cell r="D879" t="str">
            <v>03131720041 BNSNIO72S26Z129 L</v>
          </cell>
          <cell r="E879" t="str">
            <v>VIA  PRARINO, 21</v>
          </cell>
          <cell r="F879">
            <v>12050</v>
          </cell>
          <cell r="G879" t="str">
            <v>CASTELLINANDO</v>
          </cell>
          <cell r="H879" t="str">
            <v>CN</v>
          </cell>
          <cell r="I879" t="str">
            <v>ITALIA</v>
          </cell>
          <cell r="J879" t="str">
            <v>348-1060200</v>
          </cell>
        </row>
        <row r="880">
          <cell r="B880">
            <v>4538</v>
          </cell>
          <cell r="C880" t="str">
            <v>DITTA N.T.  DISTRIBUZIONE DI  TAMOUD NABIL</v>
          </cell>
          <cell r="D880" t="str">
            <v>11091900016 TMDNBL71L18Z330F</v>
          </cell>
          <cell r="E880" t="str">
            <v>VIA ARPINO, 20</v>
          </cell>
          <cell r="F880">
            <v>10046</v>
          </cell>
          <cell r="G880" t="str">
            <v>POIRINO</v>
          </cell>
          <cell r="H880" t="str">
            <v>TO</v>
          </cell>
          <cell r="I880" t="str">
            <v>ITALIA</v>
          </cell>
        </row>
        <row r="881">
          <cell r="B881">
            <v>7232</v>
          </cell>
          <cell r="C881" t="str">
            <v>DITURI LUCIANO</v>
          </cell>
          <cell r="D881" t="str">
            <v>05233660728</v>
          </cell>
          <cell r="E881" t="str">
            <v>PROVINCIALE PER TORRE  A MARE km 0,901</v>
          </cell>
          <cell r="F881">
            <v>70010</v>
          </cell>
          <cell r="G881" t="str">
            <v>NOICATTARO</v>
          </cell>
          <cell r="H881" t="str">
            <v>BA</v>
          </cell>
          <cell r="I881" t="str">
            <v>ITALIA</v>
          </cell>
        </row>
        <row r="882">
          <cell r="B882">
            <v>4399</v>
          </cell>
          <cell r="C882" t="str">
            <v>DIVISIONE  VENDING DI  SAVERIO  SALVAGNO &amp; C. SNC</v>
          </cell>
          <cell r="D882" t="str">
            <v>03149780128 03149780128</v>
          </cell>
          <cell r="E882" t="str">
            <v>VIA ROMA, 56</v>
          </cell>
          <cell r="F882">
            <v>21010</v>
          </cell>
          <cell r="G882" t="str">
            <v>CARDANO AL  CAMPO</v>
          </cell>
          <cell r="H882" t="str">
            <v>VA</v>
          </cell>
          <cell r="I882" t="str">
            <v>ITALIA</v>
          </cell>
          <cell r="J882" t="str">
            <v>349-7385287</v>
          </cell>
        </row>
        <row r="883">
          <cell r="B883">
            <v>6787</v>
          </cell>
          <cell r="C883" t="str">
            <v>DIVISIONE  VENDING S.R.L.</v>
          </cell>
          <cell r="D883" t="str">
            <v>03676350121 03676350121</v>
          </cell>
          <cell r="E883" t="str">
            <v>VIA ROMA, 56</v>
          </cell>
          <cell r="F883">
            <v>21010</v>
          </cell>
          <cell r="G883" t="str">
            <v>CARDANO AL  CAMPO</v>
          </cell>
          <cell r="H883" t="str">
            <v>VA</v>
          </cell>
          <cell r="I883" t="str">
            <v>ITALIA</v>
          </cell>
          <cell r="J883" t="str">
            <v>349-7385287</v>
          </cell>
        </row>
        <row r="884">
          <cell r="B884">
            <v>3204</v>
          </cell>
          <cell r="C884" t="str">
            <v>DLP S.A.S. DI  SAVARESE  VINCENZO &amp; C.</v>
          </cell>
          <cell r="D884" t="str">
            <v>03466050162 03466050162</v>
          </cell>
          <cell r="E884" t="str">
            <v>VIA SANTA MARIA, 158</v>
          </cell>
          <cell r="F884">
            <v>24033</v>
          </cell>
          <cell r="G884" t="str">
            <v>CALUSCO D'  ADDA</v>
          </cell>
          <cell r="H884" t="str">
            <v>BG</v>
          </cell>
          <cell r="I884" t="str">
            <v>ITALIA</v>
          </cell>
          <cell r="J884" t="str">
            <v>334-3344037</v>
          </cell>
        </row>
        <row r="885">
          <cell r="B885">
            <v>4366</v>
          </cell>
          <cell r="C885" t="str">
            <v>DMDVICTORY S.N.C.</v>
          </cell>
          <cell r="D885" t="str">
            <v>10833480014 10833480014</v>
          </cell>
          <cell r="E885" t="str">
            <v>VIA MONTEGRAPPA, 5</v>
          </cell>
          <cell r="F885">
            <v>10073</v>
          </cell>
          <cell r="G885" t="str">
            <v>CIRIE'</v>
          </cell>
          <cell r="H885" t="str">
            <v>TO</v>
          </cell>
          <cell r="I885" t="str">
            <v>ITALIA</v>
          </cell>
          <cell r="J885" t="str">
            <v>011-9202140</v>
          </cell>
        </row>
        <row r="886">
          <cell r="B886">
            <v>5130</v>
          </cell>
          <cell r="C886" t="str">
            <v>DO.MI.TO CAFFE' S. R.L.</v>
          </cell>
          <cell r="D886" t="str">
            <v>00745430041</v>
          </cell>
          <cell r="E886" t="str">
            <v>VIA ROMA, 89</v>
          </cell>
          <cell r="F886">
            <v>12030</v>
          </cell>
          <cell r="G886" t="str">
            <v>MARENE</v>
          </cell>
          <cell r="H886" t="str">
            <v>CN</v>
          </cell>
          <cell r="I886" t="str">
            <v>ITALIA</v>
          </cell>
        </row>
        <row r="887">
          <cell r="B887">
            <v>6607</v>
          </cell>
          <cell r="C887" t="str">
            <v>DOC BEVANDE S.R.L</v>
          </cell>
          <cell r="D887" t="str">
            <v>06666440018 06666440018</v>
          </cell>
          <cell r="E887" t="str">
            <v>VIA N. TOMMASEO, 59</v>
          </cell>
          <cell r="F887">
            <v>10097</v>
          </cell>
          <cell r="G887" t="str">
            <v>COLLEGNO</v>
          </cell>
          <cell r="H887" t="str">
            <v>TO</v>
          </cell>
          <cell r="I887" t="str">
            <v>ITALIA</v>
          </cell>
          <cell r="J887" t="str">
            <v>011-4110497</v>
          </cell>
        </row>
        <row r="888">
          <cell r="B888">
            <v>7511</v>
          </cell>
          <cell r="C888" t="str">
            <v>DODOLI LUCA</v>
          </cell>
          <cell r="D888" t="str">
            <v>00984010496</v>
          </cell>
          <cell r="E888" t="str">
            <v>PIAZZA ATTIAS, 37</v>
          </cell>
          <cell r="F888">
            <v>57125</v>
          </cell>
          <cell r="G888" t="str">
            <v>LIVORNO</v>
          </cell>
          <cell r="H888" t="str">
            <v>LI</v>
          </cell>
          <cell r="I888" t="str">
            <v>ITALIA</v>
          </cell>
          <cell r="J888" t="str">
            <v>333-7945192</v>
          </cell>
        </row>
        <row r="889">
          <cell r="B889">
            <v>4689</v>
          </cell>
          <cell r="C889" t="str">
            <v>DOLCAL DI ANDREA  BAGETTO</v>
          </cell>
          <cell r="D889" t="str">
            <v>11203570012 BGTNDR91M09L219 A</v>
          </cell>
          <cell r="E889" t="str">
            <v>VIA MARTIRI DELLA  LIBERTA', 80</v>
          </cell>
          <cell r="F889">
            <v>10075</v>
          </cell>
          <cell r="G889" t="str">
            <v>MATHI</v>
          </cell>
          <cell r="H889" t="str">
            <v>TO</v>
          </cell>
          <cell r="I889" t="str">
            <v>ITALIA</v>
          </cell>
          <cell r="J889" t="str">
            <v>345-1527876</v>
          </cell>
        </row>
        <row r="890">
          <cell r="B890">
            <v>7329</v>
          </cell>
          <cell r="C890" t="str">
            <v>DOLCE CALOGERO</v>
          </cell>
          <cell r="D890" t="str">
            <v>DLCCGR62A02A052 N</v>
          </cell>
          <cell r="E890" t="str">
            <v>PIAZZA ADDOLORATA 13</v>
          </cell>
          <cell r="F890">
            <v>15011</v>
          </cell>
          <cell r="G890" t="str">
            <v>ACQUI TERME</v>
          </cell>
          <cell r="H890" t="str">
            <v>AL</v>
          </cell>
          <cell r="I890" t="str">
            <v>ITALIA</v>
          </cell>
          <cell r="J890" t="str">
            <v>348-1568080</v>
          </cell>
        </row>
        <row r="891">
          <cell r="B891">
            <v>10297</v>
          </cell>
          <cell r="C891" t="str">
            <v>DOLCE PAUSA SAS</v>
          </cell>
          <cell r="E891" t="str">
            <v>VIA SANT'ANTONINO,352/B</v>
          </cell>
          <cell r="F891">
            <v>31100</v>
          </cell>
          <cell r="G891" t="str">
            <v>TREVISO</v>
          </cell>
          <cell r="H891" t="str">
            <v>TV</v>
          </cell>
          <cell r="I891" t="str">
            <v>ITALIA</v>
          </cell>
          <cell r="J891">
            <v>4681790269</v>
          </cell>
        </row>
        <row r="892">
          <cell r="B892">
            <v>4305</v>
          </cell>
          <cell r="C892" t="str">
            <v>DOLCEAMARO  CAFFE' DI SORRENTINO  MARTINO</v>
          </cell>
          <cell r="D892" t="str">
            <v>10851640010 SRRMTN73E14L219 X</v>
          </cell>
          <cell r="E892" t="str">
            <v>CORSO UNIONE  SOVIETICA, 237</v>
          </cell>
          <cell r="F892">
            <v>10134</v>
          </cell>
          <cell r="G892" t="str">
            <v>TORINO</v>
          </cell>
          <cell r="H892" t="str">
            <v>TO</v>
          </cell>
          <cell r="I892" t="str">
            <v>ITALIA</v>
          </cell>
          <cell r="J892" t="str">
            <v>373-7145993</v>
          </cell>
        </row>
        <row r="893">
          <cell r="B893">
            <v>3043</v>
          </cell>
          <cell r="C893" t="str">
            <v>DOLCECAFFE' DI  ELISABETTA  CLEMENTE</v>
          </cell>
          <cell r="D893" t="str">
            <v>02340630025 CLMLBT61S66L750R</v>
          </cell>
          <cell r="E893" t="str">
            <v>VIA R. RESTANO, 16</v>
          </cell>
          <cell r="F893">
            <v>13100</v>
          </cell>
          <cell r="G893" t="str">
            <v>VERCELLI</v>
          </cell>
          <cell r="H893" t="str">
            <v>VC</v>
          </cell>
          <cell r="I893" t="str">
            <v>ITALIA</v>
          </cell>
          <cell r="J893" t="str">
            <v>0161-215012</v>
          </cell>
        </row>
        <row r="894">
          <cell r="B894">
            <v>6781</v>
          </cell>
          <cell r="C894" t="str">
            <v>DOLCI E CAFFE' DI  SERVERGNINI DARIO</v>
          </cell>
          <cell r="D894" t="str">
            <v>03437860129 SVRDRA49S10H264 H</v>
          </cell>
          <cell r="E894" t="str">
            <v>VIA IV NOVEMBRE, 80</v>
          </cell>
          <cell r="F894">
            <v>21040</v>
          </cell>
          <cell r="G894" t="str">
            <v>UBOLDO</v>
          </cell>
          <cell r="H894" t="str">
            <v>VA</v>
          </cell>
          <cell r="I894" t="str">
            <v>ITALIA</v>
          </cell>
          <cell r="J894" t="str">
            <v>02-96789743</v>
          </cell>
        </row>
        <row r="895">
          <cell r="B895">
            <v>7204</v>
          </cell>
          <cell r="C895" t="str">
            <v>DOLCI PIACERI S.R. L.S.</v>
          </cell>
          <cell r="D895" t="str">
            <v>12202190018 12202190018</v>
          </cell>
          <cell r="E895" t="str">
            <v>VIA MONTE NOVEGNO, 39</v>
          </cell>
          <cell r="F895">
            <v>10137</v>
          </cell>
          <cell r="G895" t="str">
            <v>TORINO</v>
          </cell>
          <cell r="H895" t="str">
            <v>TO</v>
          </cell>
          <cell r="I895" t="str">
            <v>ITALIA</v>
          </cell>
          <cell r="J895" t="str">
            <v>347-5612711</v>
          </cell>
        </row>
        <row r="896">
          <cell r="B896">
            <v>6597</v>
          </cell>
          <cell r="C896" t="str">
            <v>DOLCIMANIE S.R.L.</v>
          </cell>
          <cell r="D896" t="str">
            <v>08725380961 08725380961</v>
          </cell>
          <cell r="E896" t="str">
            <v>VIA F.LLI CAIROLI, 6</v>
          </cell>
          <cell r="F896">
            <v>20025</v>
          </cell>
          <cell r="G896" t="str">
            <v>LEGNANO</v>
          </cell>
          <cell r="H896" t="str">
            <v>MI</v>
          </cell>
          <cell r="I896" t="str">
            <v>ITALIA</v>
          </cell>
          <cell r="J896" t="str">
            <v xml:space="preserve">02-84578964 </v>
          </cell>
        </row>
        <row r="897">
          <cell r="B897">
            <v>6996</v>
          </cell>
          <cell r="C897" t="str">
            <v>DOMENICO LOSAPIO</v>
          </cell>
          <cell r="D897" t="str">
            <v>LSPDNC79H03B619 I</v>
          </cell>
          <cell r="E897" t="str">
            <v>VIA MONSIGNORE  CARRARA, 18</v>
          </cell>
          <cell r="F897">
            <v>76011</v>
          </cell>
          <cell r="G897" t="str">
            <v>BISCEGLIE</v>
          </cell>
          <cell r="H897" t="str">
            <v>BT</v>
          </cell>
          <cell r="I897" t="str">
            <v>ITALIA</v>
          </cell>
          <cell r="J897" t="str">
            <v>345-3200811</v>
          </cell>
        </row>
        <row r="898">
          <cell r="B898">
            <v>6841</v>
          </cell>
          <cell r="C898" t="str">
            <v>DOMINO S.R.L.</v>
          </cell>
          <cell r="D898" t="str">
            <v>02423870993 02423870993</v>
          </cell>
          <cell r="E898" t="str">
            <v>VIA XXV APRILE, 4/14</v>
          </cell>
          <cell r="F898">
            <v>16123</v>
          </cell>
          <cell r="G898" t="str">
            <v>GENOVA</v>
          </cell>
          <cell r="H898" t="str">
            <v>GE</v>
          </cell>
          <cell r="I898" t="str">
            <v>ITALIA</v>
          </cell>
          <cell r="J898" t="str">
            <v>347-1239843</v>
          </cell>
        </row>
        <row r="899">
          <cell r="B899">
            <v>7243</v>
          </cell>
          <cell r="C899" t="str">
            <v>DONATI GIORGIO</v>
          </cell>
          <cell r="D899" t="str">
            <v>07215961009</v>
          </cell>
          <cell r="E899" t="str">
            <v>VIA CASTEL MORRONE 6</v>
          </cell>
          <cell r="F899">
            <v>182</v>
          </cell>
          <cell r="G899" t="str">
            <v>ROMA</v>
          </cell>
          <cell r="H899" t="str">
            <v>RM</v>
          </cell>
          <cell r="I899" t="str">
            <v>ITALIA</v>
          </cell>
          <cell r="J899" t="str">
            <v>349-3557753</v>
          </cell>
        </row>
        <row r="900">
          <cell r="B900">
            <v>1859</v>
          </cell>
          <cell r="C900" t="str">
            <v>DONES MARTA</v>
          </cell>
          <cell r="D900" t="str">
            <v>DNSMRT81P64I441 A</v>
          </cell>
          <cell r="E900" t="str">
            <v>VIA G. CARDUCCI, 20</v>
          </cell>
          <cell r="F900">
            <v>20036</v>
          </cell>
          <cell r="G900" t="str">
            <v>MEDA</v>
          </cell>
          <cell r="H900" t="str">
            <v>MI</v>
          </cell>
          <cell r="I900" t="str">
            <v>ITALIA</v>
          </cell>
          <cell r="J900" t="str">
            <v>348- 9292280</v>
          </cell>
        </row>
        <row r="901">
          <cell r="B901">
            <v>4471</v>
          </cell>
          <cell r="C901" t="str">
            <v>DONIA GIAMPIERO</v>
          </cell>
          <cell r="D901" t="str">
            <v>DNOGPR82H21F158 W</v>
          </cell>
          <cell r="E901" t="str">
            <v>VIA ALLA CASINA  MUSCHIONA, 24/A</v>
          </cell>
          <cell r="F901">
            <v>21040</v>
          </cell>
          <cell r="G901" t="str">
            <v>ORIGGIO</v>
          </cell>
          <cell r="H901" t="str">
            <v>VA</v>
          </cell>
          <cell r="I901" t="str">
            <v>ITALIA</v>
          </cell>
          <cell r="J901" t="str">
            <v>334-9051610</v>
          </cell>
        </row>
        <row r="902">
          <cell r="B902">
            <v>7245</v>
          </cell>
          <cell r="C902" t="str">
            <v>D'ONOFRIO  ALESSANDRA</v>
          </cell>
          <cell r="D902" t="str">
            <v>DNFNLS80S67G786 M</v>
          </cell>
          <cell r="E902" t="str">
            <v>VIA CIRILLO, 12</v>
          </cell>
          <cell r="F902">
            <v>75015</v>
          </cell>
          <cell r="G902" t="str">
            <v>PISTICCI</v>
          </cell>
          <cell r="H902" t="str">
            <v>MT</v>
          </cell>
          <cell r="I902" t="str">
            <v>ITALIA</v>
          </cell>
          <cell r="J902" t="str">
            <v>328-7419280</v>
          </cell>
        </row>
        <row r="903">
          <cell r="B903">
            <v>7000</v>
          </cell>
          <cell r="C903" t="str">
            <v>D'ONOFRIO  GAETANO</v>
          </cell>
          <cell r="D903" t="str">
            <v>DNFGTN62L30H703 S</v>
          </cell>
          <cell r="E903" t="str">
            <v>VIA BALTIMORA, 122</v>
          </cell>
          <cell r="F903">
            <v>10137</v>
          </cell>
          <cell r="G903" t="str">
            <v>TORINO</v>
          </cell>
          <cell r="H903" t="str">
            <v>TO</v>
          </cell>
          <cell r="I903" t="str">
            <v>ITALIA</v>
          </cell>
          <cell r="J903" t="str">
            <v>338-8053670</v>
          </cell>
        </row>
        <row r="904">
          <cell r="B904">
            <v>2989</v>
          </cell>
          <cell r="C904" t="str">
            <v>DR.SSA ELENA  ELEONORA MARIA  ANTONIETTA  GIOVANNELLI</v>
          </cell>
          <cell r="D904" t="str">
            <v>03768430963 GVNLLN74M46F205J</v>
          </cell>
          <cell r="E904" t="str">
            <v>VIA FRANCESCO  CARACCIOLO, 89</v>
          </cell>
          <cell r="F904">
            <v>20155</v>
          </cell>
          <cell r="G904" t="str">
            <v>MILANO</v>
          </cell>
          <cell r="H904" t="str">
            <v>MI</v>
          </cell>
          <cell r="I904" t="str">
            <v>ITALIA</v>
          </cell>
        </row>
        <row r="905">
          <cell r="B905">
            <v>6808</v>
          </cell>
          <cell r="C905" t="str">
            <v>DRAGHETTI  GIUSEPPINA GIULIA</v>
          </cell>
          <cell r="D905" t="str">
            <v>10664300968</v>
          </cell>
          <cell r="E905" t="str">
            <v>CORSO ARCHINTI, 34</v>
          </cell>
          <cell r="F905">
            <v>26900</v>
          </cell>
          <cell r="G905" t="str">
            <v>LODI</v>
          </cell>
          <cell r="H905" t="str">
            <v>LO</v>
          </cell>
          <cell r="I905" t="str">
            <v>ITALIA</v>
          </cell>
          <cell r="J905" t="str">
            <v>345-6440553</v>
          </cell>
        </row>
        <row r="906">
          <cell r="B906">
            <v>4628</v>
          </cell>
          <cell r="C906" t="str">
            <v>DRAGON BREAK DI  GIUSEPPE RESTELLI</v>
          </cell>
          <cell r="D906" t="str">
            <v>08930350965 RSTGPP65T10E801T</v>
          </cell>
          <cell r="E906" t="str">
            <v>VIA CARLO PISACANE, 26</v>
          </cell>
          <cell r="F906">
            <v>20013</v>
          </cell>
          <cell r="G906" t="str">
            <v>MAGENTA</v>
          </cell>
          <cell r="H906" t="str">
            <v>MI</v>
          </cell>
          <cell r="I906" t="str">
            <v>ITALIA</v>
          </cell>
          <cell r="J906" t="str">
            <v>335-6681855</v>
          </cell>
        </row>
        <row r="907">
          <cell r="B907">
            <v>4741</v>
          </cell>
          <cell r="C907" t="str">
            <v>DREAM SHOP S.R.L.</v>
          </cell>
          <cell r="D907" t="str">
            <v>07510770964 07510770964</v>
          </cell>
          <cell r="E907" t="str">
            <v>CORSO GROSSETO, 159/B</v>
          </cell>
          <cell r="F907">
            <v>10147</v>
          </cell>
          <cell r="G907" t="str">
            <v>TORINO</v>
          </cell>
          <cell r="H907" t="str">
            <v>TO</v>
          </cell>
          <cell r="I907" t="str">
            <v>ITALIA</v>
          </cell>
          <cell r="J907" t="str">
            <v>011-9983502</v>
          </cell>
        </row>
        <row r="908">
          <cell r="B908">
            <v>6116</v>
          </cell>
          <cell r="C908" t="str">
            <v>DRINK &amp; WORK S.N. C.</v>
          </cell>
          <cell r="D908" t="str">
            <v>08987830018 08987830018</v>
          </cell>
          <cell r="E908" t="str">
            <v>VIA PIOSSASCO, 43/S</v>
          </cell>
          <cell r="F908">
            <v>10040</v>
          </cell>
          <cell r="G908" t="str">
            <v>VOLVERA</v>
          </cell>
          <cell r="H908" t="str">
            <v>TO</v>
          </cell>
          <cell r="I908" t="str">
            <v>ITALIA</v>
          </cell>
          <cell r="J908" t="str">
            <v>011-9850167</v>
          </cell>
        </row>
        <row r="909">
          <cell r="B909">
            <v>422</v>
          </cell>
          <cell r="C909" t="str">
            <v>DRINK MATIC DI  SANTO FEDE</v>
          </cell>
          <cell r="D909" t="str">
            <v>00422</v>
          </cell>
          <cell r="E909" t="str">
            <v>FRIEDACKERSTR., 16</v>
          </cell>
          <cell r="F909">
            <v>0</v>
          </cell>
          <cell r="G909" t="str">
            <v>8153 RUMLANG -  SVIZZERA -</v>
          </cell>
          <cell r="I909" t="str">
            <v>SVIZZERA</v>
          </cell>
          <cell r="J909" t="str">
            <v xml:space="preserve">0041-448172070 </v>
          </cell>
        </row>
        <row r="910">
          <cell r="B910">
            <v>4837</v>
          </cell>
          <cell r="C910" t="str">
            <v>DRIVE IN S.R.L.</v>
          </cell>
          <cell r="D910" t="str">
            <v>02512480365 02512480365</v>
          </cell>
          <cell r="E910" t="str">
            <v>VIA TAGLIAMENTO, 17</v>
          </cell>
          <cell r="F910">
            <v>41057</v>
          </cell>
          <cell r="G910" t="str">
            <v>SPILAMBERTO</v>
          </cell>
          <cell r="H910" t="str">
            <v>MO</v>
          </cell>
          <cell r="I910" t="str">
            <v>ITALIA</v>
          </cell>
          <cell r="J910" t="str">
            <v>059-783010</v>
          </cell>
        </row>
        <row r="911">
          <cell r="B911">
            <v>2133</v>
          </cell>
          <cell r="C911" t="str">
            <v>DU.RI.DA. KAFFE'</v>
          </cell>
          <cell r="D911" t="str">
            <v>08565220012 GRCSMN73R63L219 J</v>
          </cell>
          <cell r="E911" t="str">
            <v>VIA VAUDA, 51</v>
          </cell>
          <cell r="F911">
            <v>10088</v>
          </cell>
          <cell r="G911" t="str">
            <v>VOLPIANO</v>
          </cell>
          <cell r="H911" t="str">
            <v>TO</v>
          </cell>
          <cell r="I911" t="str">
            <v>ITALIA</v>
          </cell>
          <cell r="J911" t="str">
            <v>011-9887555</v>
          </cell>
        </row>
        <row r="912">
          <cell r="B912">
            <v>4480</v>
          </cell>
          <cell r="C912" t="str">
            <v>DUCA CAFFE' S. N.C. DI BARBANTI  STEFANO &amp; C.</v>
          </cell>
          <cell r="D912" t="str">
            <v>08454620967 08454620967</v>
          </cell>
          <cell r="E912" t="str">
            <v>VIA EMILIO CEREDA, 3</v>
          </cell>
          <cell r="F912">
            <v>20871</v>
          </cell>
          <cell r="G912" t="str">
            <v>VIMERCATE</v>
          </cell>
          <cell r="H912" t="str">
            <v>MB</v>
          </cell>
          <cell r="I912" t="str">
            <v>ITALIA</v>
          </cell>
          <cell r="J912" t="str">
            <v>328-2537738</v>
          </cell>
        </row>
        <row r="913">
          <cell r="B913">
            <v>4176</v>
          </cell>
          <cell r="C913" t="str">
            <v>DUE.GI S.A.S. DI  RONCHETTI ENRICO  E C.</v>
          </cell>
          <cell r="D913" t="str">
            <v>03395890134 03395890134</v>
          </cell>
          <cell r="E913" t="str">
            <v>VIA PIO XI, 39</v>
          </cell>
          <cell r="F913">
            <v>22100</v>
          </cell>
          <cell r="G913" t="str">
            <v>COMO</v>
          </cell>
          <cell r="H913" t="str">
            <v>CO</v>
          </cell>
          <cell r="I913" t="str">
            <v>ITALIA</v>
          </cell>
          <cell r="J913" t="str">
            <v>031-542161</v>
          </cell>
        </row>
        <row r="914">
          <cell r="B914">
            <v>6811</v>
          </cell>
          <cell r="C914" t="str">
            <v>DUESSE  RAPPRESENTANZE  DI SCHIVI STEFANO</v>
          </cell>
          <cell r="D914" t="str">
            <v>02503700201 SCHSFN72M18H143 U</v>
          </cell>
          <cell r="E914" t="str">
            <v>VIA PIERO GOBETTI, 27</v>
          </cell>
          <cell r="F914">
            <v>46020</v>
          </cell>
          <cell r="G914" t="str">
            <v>PEGOGNANA</v>
          </cell>
          <cell r="H914" t="str">
            <v>MN</v>
          </cell>
          <cell r="I914" t="str">
            <v>ITALIA</v>
          </cell>
          <cell r="J914" t="str">
            <v>366-4573885</v>
          </cell>
        </row>
        <row r="915">
          <cell r="B915">
            <v>7310</v>
          </cell>
          <cell r="C915" t="str">
            <v>DVM S.R.L.S.</v>
          </cell>
          <cell r="D915" t="str">
            <v>03705920126 03705920126</v>
          </cell>
          <cell r="E915" t="str">
            <v>VIA VERDI, 56</v>
          </cell>
          <cell r="F915">
            <v>21034</v>
          </cell>
          <cell r="G915" t="str">
            <v>COCQUIO  TREVISAGO</v>
          </cell>
          <cell r="H915" t="str">
            <v>VA</v>
          </cell>
          <cell r="I915" t="str">
            <v>ITALIA</v>
          </cell>
          <cell r="J915" t="str">
            <v>320-2425643</v>
          </cell>
        </row>
        <row r="916">
          <cell r="B916">
            <v>7822</v>
          </cell>
          <cell r="C916" t="str">
            <v>DYNAMIC S.R.L.</v>
          </cell>
          <cell r="E916" t="str">
            <v>VIA DEI FABBRI, 4/A</v>
          </cell>
          <cell r="F916">
            <v>48011</v>
          </cell>
          <cell r="G916" t="str">
            <v>ALFONSINE</v>
          </cell>
          <cell r="H916" t="str">
            <v>RA</v>
          </cell>
          <cell r="I916" t="str">
            <v>ITALIA</v>
          </cell>
        </row>
        <row r="917">
          <cell r="B917">
            <v>4947</v>
          </cell>
          <cell r="C917" t="str">
            <v>DZ SEGNALETICA  S. R.L.</v>
          </cell>
          <cell r="D917" t="str">
            <v>11324090015 11324090015</v>
          </cell>
          <cell r="E917" t="str">
            <v>VIA BELLUCCO, 44</v>
          </cell>
          <cell r="F917">
            <v>10078</v>
          </cell>
          <cell r="G917" t="str">
            <v>VENARIA</v>
          </cell>
          <cell r="H917" t="str">
            <v>TO</v>
          </cell>
          <cell r="I917" t="str">
            <v>ITALIA</v>
          </cell>
          <cell r="J917" t="str">
            <v xml:space="preserve">011-4594634 </v>
          </cell>
        </row>
        <row r="918">
          <cell r="B918">
            <v>3355</v>
          </cell>
          <cell r="C918" t="str">
            <v>E.C.E S.N.C.</v>
          </cell>
          <cell r="D918" t="str">
            <v>03241890049 03241890049</v>
          </cell>
          <cell r="E918" t="str">
            <v>PIAZZA BATTUTI ROSSI, 5</v>
          </cell>
          <cell r="F918">
            <v>12045</v>
          </cell>
          <cell r="G918" t="str">
            <v>FOSSANO</v>
          </cell>
          <cell r="H918" t="str">
            <v>CN</v>
          </cell>
          <cell r="I918" t="str">
            <v>ITALIA</v>
          </cell>
          <cell r="J918" t="str">
            <v>0172-637364</v>
          </cell>
        </row>
        <row r="919">
          <cell r="B919">
            <v>5802</v>
          </cell>
          <cell r="C919" t="str">
            <v>E.D.A. DI ALLOCCO  EMANUELE</v>
          </cell>
          <cell r="D919" t="str">
            <v>07080600013 LLCMNL67D26L219R</v>
          </cell>
          <cell r="E919" t="str">
            <v>VIA CAVOUR, 16</v>
          </cell>
          <cell r="F919">
            <v>10040</v>
          </cell>
          <cell r="G919" t="str">
            <v>RIVALTA DI  TORINO</v>
          </cell>
          <cell r="H919" t="str">
            <v>TO</v>
          </cell>
          <cell r="I919" t="str">
            <v>ITALIA</v>
          </cell>
          <cell r="J919" t="str">
            <v xml:space="preserve">011-9032486 </v>
          </cell>
        </row>
        <row r="920">
          <cell r="B920">
            <v>541</v>
          </cell>
          <cell r="C920" t="str">
            <v>E.D.A. S.A.S. DI  MARIOTTI GINO E  GIAMPIETRO</v>
          </cell>
          <cell r="D920" t="str">
            <v>00572200988 00599800174</v>
          </cell>
          <cell r="E920" t="str">
            <v>VIALE TASSARA, 9</v>
          </cell>
          <cell r="F920">
            <v>25047</v>
          </cell>
          <cell r="G920" t="str">
            <v>DARFO BOARIO  TERME</v>
          </cell>
          <cell r="H920" t="str">
            <v>BS</v>
          </cell>
          <cell r="I920" t="str">
            <v>ITALIA</v>
          </cell>
          <cell r="J920" t="str">
            <v>0364-531402</v>
          </cell>
        </row>
        <row r="921">
          <cell r="B921">
            <v>3697</v>
          </cell>
          <cell r="C921" t="str">
            <v>EASY BREAK S.A. S. DI GAVONI  ANGELO</v>
          </cell>
          <cell r="D921" t="str">
            <v>02331960183 02331960183</v>
          </cell>
          <cell r="E921" t="str">
            <v>VIA DELLA CHIAVICA, 32</v>
          </cell>
          <cell r="F921">
            <v>27020</v>
          </cell>
          <cell r="G921" t="str">
            <v>TRAVACO'  SICCOMARIO</v>
          </cell>
          <cell r="H921" t="str">
            <v>PV</v>
          </cell>
          <cell r="I921" t="str">
            <v>ITALIA</v>
          </cell>
          <cell r="J921" t="str">
            <v xml:space="preserve">335-1867284 </v>
          </cell>
        </row>
        <row r="922">
          <cell r="B922">
            <v>7379</v>
          </cell>
          <cell r="C922" t="str">
            <v>EASYTECH DI  TOMASONI  FRANCESCO</v>
          </cell>
          <cell r="D922" t="str">
            <v>03635010980</v>
          </cell>
          <cell r="E922" t="str">
            <v>VILLAGGIO FRANZONI 43</v>
          </cell>
          <cell r="F922">
            <v>25023</v>
          </cell>
          <cell r="G922" t="str">
            <v>GOTTOLENGO</v>
          </cell>
          <cell r="H922" t="str">
            <v>BS</v>
          </cell>
          <cell r="I922" t="str">
            <v>ITALIA</v>
          </cell>
          <cell r="J922"/>
        </row>
        <row r="923">
          <cell r="B923">
            <v>4112</v>
          </cell>
          <cell r="C923" t="str">
            <v>EC S.R.L.</v>
          </cell>
          <cell r="D923" t="str">
            <v>03409610049 03409610049</v>
          </cell>
          <cell r="E923" t="str">
            <v>VIA TORINO, 170</v>
          </cell>
          <cell r="F923">
            <v>12045</v>
          </cell>
          <cell r="G923" t="str">
            <v>FOSSANO</v>
          </cell>
          <cell r="H923" t="str">
            <v>CN</v>
          </cell>
          <cell r="I923" t="str">
            <v>ITALIA</v>
          </cell>
          <cell r="J923" t="str">
            <v>0172-642127</v>
          </cell>
        </row>
        <row r="924">
          <cell r="B924">
            <v>6806</v>
          </cell>
          <cell r="C924" t="str">
            <v>ECOTEL TORINO S.A. S. DI ROSCA  VASILE COSMIN &amp; C.</v>
          </cell>
          <cell r="D924" t="str">
            <v>11487700012 11487700012</v>
          </cell>
          <cell r="E924" t="str">
            <v>VIA EXILLES 84</v>
          </cell>
          <cell r="F924">
            <v>10100</v>
          </cell>
          <cell r="G924" t="str">
            <v>TORINO</v>
          </cell>
          <cell r="H924" t="str">
            <v>TO</v>
          </cell>
          <cell r="I924" t="str">
            <v>ITALIA</v>
          </cell>
          <cell r="J924" t="str">
            <v>011-7732032</v>
          </cell>
        </row>
        <row r="925">
          <cell r="B925">
            <v>7019</v>
          </cell>
          <cell r="C925" t="str">
            <v>EDICOLA TRIGATTI  ARMANDO</v>
          </cell>
          <cell r="D925" t="str">
            <v>10636920018</v>
          </cell>
          <cell r="E925" t="str">
            <v>CORSO LECCE 35/A</v>
          </cell>
          <cell r="F925">
            <v>10100</v>
          </cell>
          <cell r="G925" t="str">
            <v>Torino</v>
          </cell>
          <cell r="H925" t="str">
            <v>TO</v>
          </cell>
          <cell r="I925" t="str">
            <v>ITALIA</v>
          </cell>
          <cell r="J925" t="str">
            <v>347-3818077</v>
          </cell>
        </row>
        <row r="926">
          <cell r="B926">
            <v>3717</v>
          </cell>
          <cell r="C926" t="str">
            <v>EDIL  PROFESSIONAL S.R. L.</v>
          </cell>
          <cell r="D926" t="str">
            <v>06577260968 06577260968</v>
          </cell>
          <cell r="E926" t="str">
            <v>VIA C. GOLDONI, 19</v>
          </cell>
          <cell r="F926">
            <v>20129</v>
          </cell>
          <cell r="G926" t="str">
            <v>MILANO</v>
          </cell>
          <cell r="H926" t="str">
            <v>MI</v>
          </cell>
          <cell r="I926" t="str">
            <v>ITALIA</v>
          </cell>
          <cell r="J926" t="str">
            <v>349-2978326</v>
          </cell>
        </row>
        <row r="927">
          <cell r="B927">
            <v>4804</v>
          </cell>
          <cell r="C927" t="str">
            <v>EDILGRAF S.R.L.</v>
          </cell>
          <cell r="D927" t="str">
            <v>02886170964 02886170964</v>
          </cell>
          <cell r="E927" t="str">
            <v>VIA R. SANZIO, 10</v>
          </cell>
          <cell r="F927">
            <v>20831</v>
          </cell>
          <cell r="G927" t="str">
            <v>SEREGNO</v>
          </cell>
          <cell r="H927" t="str">
            <v>MB</v>
          </cell>
          <cell r="I927" t="str">
            <v>ITALIA</v>
          </cell>
          <cell r="J927" t="str">
            <v xml:space="preserve">0362-990556 </v>
          </cell>
        </row>
        <row r="928">
          <cell r="B928">
            <v>4724</v>
          </cell>
          <cell r="C928" t="str">
            <v>EDILIZIA BALLATORE S.N.C.</v>
          </cell>
          <cell r="D928" t="str">
            <v>06945760012 06945760012</v>
          </cell>
          <cell r="E928" t="str">
            <v>VIA MODIGLIANI, 24</v>
          </cell>
          <cell r="F928">
            <v>10090</v>
          </cell>
          <cell r="G928" t="str">
            <v>BRUINO</v>
          </cell>
          <cell r="H928" t="str">
            <v>TO</v>
          </cell>
          <cell r="I928" t="str">
            <v>ITALIA</v>
          </cell>
          <cell r="J928" t="str">
            <v>011-9086647</v>
          </cell>
        </row>
        <row r="929">
          <cell r="B929">
            <v>3781</v>
          </cell>
          <cell r="C929" t="str">
            <v>EDITSERVICE S.R.L.</v>
          </cell>
          <cell r="D929" t="str">
            <v>07605500011 07605500011</v>
          </cell>
          <cell r="E929" t="str">
            <v>VIALE CADORE, 85</v>
          </cell>
          <cell r="F929">
            <v>10040</v>
          </cell>
          <cell r="G929" t="str">
            <v>RIVALTA</v>
          </cell>
          <cell r="H929" t="str">
            <v>TO</v>
          </cell>
          <cell r="I929" t="str">
            <v>ITALIA</v>
          </cell>
          <cell r="J929" t="str">
            <v>011-9219568</v>
          </cell>
        </row>
        <row r="930">
          <cell r="B930">
            <v>4753</v>
          </cell>
          <cell r="C930" t="str">
            <v>EFFERRE DUE SCARL</v>
          </cell>
          <cell r="D930" t="str">
            <v>08270810016 08270810016</v>
          </cell>
          <cell r="E930" t="str">
            <v>VIA MARIO LEONI, 10</v>
          </cell>
          <cell r="F930">
            <v>10100</v>
          </cell>
          <cell r="G930" t="str">
            <v>TORINO</v>
          </cell>
          <cell r="H930" t="str">
            <v>TO</v>
          </cell>
          <cell r="I930" t="str">
            <v>ITALIA</v>
          </cell>
        </row>
        <row r="931">
          <cell r="B931">
            <v>6626</v>
          </cell>
          <cell r="C931" t="str">
            <v>EFFESSE SERVIZI S. R.L.</v>
          </cell>
          <cell r="D931" t="str">
            <v>09445840961 09445840961</v>
          </cell>
          <cell r="E931" t="str">
            <v>PIAZZA CASTELLO, 21</v>
          </cell>
          <cell r="F931">
            <v>20100</v>
          </cell>
          <cell r="G931" t="str">
            <v>MILANO</v>
          </cell>
          <cell r="H931" t="str">
            <v>MI</v>
          </cell>
          <cell r="I931" t="str">
            <v>ITALIA</v>
          </cell>
          <cell r="J931" t="str">
            <v>366-1957534</v>
          </cell>
        </row>
        <row r="932">
          <cell r="B932">
            <v>4721</v>
          </cell>
          <cell r="C932" t="str">
            <v>EGE TECH DI  MARCARELLI  EUGENIO</v>
          </cell>
          <cell r="D932" t="str">
            <v>01704480092 MRCGNE86R16F205 M</v>
          </cell>
          <cell r="E932" t="str">
            <v>REGIONE CARENDA  RAPALLINE, 24/A</v>
          </cell>
          <cell r="F932">
            <v>17031</v>
          </cell>
          <cell r="G932" t="str">
            <v>ALBENGA</v>
          </cell>
          <cell r="H932" t="str">
            <v>SV</v>
          </cell>
          <cell r="I932" t="str">
            <v>ITALIA</v>
          </cell>
          <cell r="J932" t="str">
            <v xml:space="preserve">320-6944774 </v>
          </cell>
        </row>
        <row r="933">
          <cell r="B933">
            <v>4412</v>
          </cell>
          <cell r="C933" t="str">
            <v>EL CARRITO S.A.S.  DI PELLEGRINI  FABIO</v>
          </cell>
          <cell r="D933" t="str">
            <v>03475520965 03475520965</v>
          </cell>
          <cell r="E933" t="str">
            <v>VIA DIAZ, 7</v>
          </cell>
          <cell r="F933">
            <v>20030</v>
          </cell>
          <cell r="G933" t="str">
            <v>CORMANO</v>
          </cell>
          <cell r="H933" t="str">
            <v>MI</v>
          </cell>
          <cell r="I933" t="str">
            <v>ITALIA</v>
          </cell>
          <cell r="J933" t="str">
            <v>333-6124385</v>
          </cell>
        </row>
        <row r="934">
          <cell r="B934">
            <v>5768</v>
          </cell>
          <cell r="C934" t="str">
            <v>ELAH-DUFOUR S.P.A.</v>
          </cell>
          <cell r="D934" t="str">
            <v>03193610106 04853680017</v>
          </cell>
          <cell r="E934" t="str">
            <v>VIA PIANDILUCCO, 22  ROSSO</v>
          </cell>
          <cell r="F934">
            <v>16155</v>
          </cell>
          <cell r="G934" t="str">
            <v>GENOVA PEGLI</v>
          </cell>
          <cell r="H934" t="str">
            <v>GE</v>
          </cell>
          <cell r="I934" t="str">
            <v>ITALIA</v>
          </cell>
          <cell r="J934" t="str">
            <v>011-9673131</v>
          </cell>
        </row>
        <row r="935">
          <cell r="B935">
            <v>6818</v>
          </cell>
          <cell r="C935" t="str">
            <v>ELDIGI SRL</v>
          </cell>
          <cell r="D935" t="str">
            <v>07143330012</v>
          </cell>
          <cell r="E935" t="str">
            <v>CORSO TORINO, 366</v>
          </cell>
          <cell r="F935">
            <v>10064</v>
          </cell>
          <cell r="G935" t="str">
            <v>PINEROLO</v>
          </cell>
          <cell r="H935" t="str">
            <v>TO</v>
          </cell>
          <cell r="I935" t="str">
            <v>ITALIA</v>
          </cell>
          <cell r="J935"/>
        </row>
        <row r="936">
          <cell r="B936">
            <v>4815</v>
          </cell>
          <cell r="C936" t="str">
            <v>ELETTROMECCANICA P.G. DI PAOLO GAIA</v>
          </cell>
          <cell r="D936" t="str">
            <v>02276110067 GAIPLA64L29B885K</v>
          </cell>
          <cell r="E936" t="str">
            <v>VIA ARGINE MALPENSATA, 5</v>
          </cell>
          <cell r="F936">
            <v>15033</v>
          </cell>
          <cell r="G936" t="str">
            <v>CASALE  MONFERRATO</v>
          </cell>
          <cell r="H936" t="str">
            <v>AL</v>
          </cell>
          <cell r="I936" t="str">
            <v>ITALIA</v>
          </cell>
          <cell r="J936" t="str">
            <v>366-6468755</v>
          </cell>
        </row>
        <row r="937">
          <cell r="B937">
            <v>4760</v>
          </cell>
          <cell r="C937" t="str">
            <v>ELETTROSYSTEM S. N.C.</v>
          </cell>
          <cell r="D937" t="str">
            <v>02362980993 02362980993</v>
          </cell>
          <cell r="E937" t="str">
            <v>VIA ALDO MANUZIO, 40/A  R</v>
          </cell>
          <cell r="F937">
            <v>16143</v>
          </cell>
          <cell r="G937" t="str">
            <v>GENOVA</v>
          </cell>
          <cell r="H937" t="str">
            <v>GE</v>
          </cell>
          <cell r="I937" t="str">
            <v>ITALIA</v>
          </cell>
          <cell r="J937" t="str">
            <v>335-5279223</v>
          </cell>
        </row>
        <row r="938">
          <cell r="B938">
            <v>2263</v>
          </cell>
          <cell r="C938" t="str">
            <v>ELEVEN S.N.N. DEI F. LLI COCHIS M.R.</v>
          </cell>
          <cell r="D938" t="str">
            <v>05887280013 05887280013</v>
          </cell>
          <cell r="E938" t="str">
            <v>VIA REISS ROMOLI, 146</v>
          </cell>
          <cell r="F938">
            <v>10148</v>
          </cell>
          <cell r="G938" t="str">
            <v>TORINO</v>
          </cell>
          <cell r="H938" t="str">
            <v>TO</v>
          </cell>
          <cell r="I938" t="str">
            <v>ITALIA</v>
          </cell>
          <cell r="J938" t="str">
            <v>011-2263028</v>
          </cell>
        </row>
        <row r="939">
          <cell r="B939">
            <v>3041</v>
          </cell>
          <cell r="C939" t="str">
            <v>ELI GIORDANINO S. R.L.</v>
          </cell>
          <cell r="D939" t="str">
            <v>09738480012 09738480012</v>
          </cell>
          <cell r="E939" t="str">
            <v>VIA BELLACOMBA, 258/60</v>
          </cell>
          <cell r="F939">
            <v>10156</v>
          </cell>
          <cell r="G939" t="str">
            <v>TORINO</v>
          </cell>
          <cell r="H939" t="str">
            <v>TO</v>
          </cell>
          <cell r="I939" t="str">
            <v>ITALIA</v>
          </cell>
          <cell r="J939" t="str">
            <v>011-4703037</v>
          </cell>
        </row>
        <row r="940">
          <cell r="B940">
            <v>7227</v>
          </cell>
          <cell r="C940" t="str">
            <v>ELITE COFFEE DI  KRISTIJAN</v>
          </cell>
          <cell r="D940" t="str">
            <v>11297400969 SRNKST91E05Z158 B</v>
          </cell>
          <cell r="E940" t="str">
            <v>VIA CARDUCCI, 10</v>
          </cell>
          <cell r="F940">
            <v>20060</v>
          </cell>
          <cell r="G940" t="str">
            <v>POZZUOLO  MARTESANA</v>
          </cell>
          <cell r="H940" t="str">
            <v>MI</v>
          </cell>
          <cell r="I940" t="str">
            <v>ITALIA</v>
          </cell>
          <cell r="J940" t="str">
            <v>351-2718790</v>
          </cell>
        </row>
        <row r="941">
          <cell r="B941">
            <v>1651</v>
          </cell>
          <cell r="C941" t="str">
            <v>ELKA VENDING S.R. L.</v>
          </cell>
          <cell r="D941" t="str">
            <v>13401960151 13401960151</v>
          </cell>
          <cell r="E941" t="str">
            <v>VIA CARLONE, 1</v>
          </cell>
          <cell r="F941">
            <v>20147</v>
          </cell>
          <cell r="G941" t="str">
            <v>MILANO</v>
          </cell>
          <cell r="H941" t="str">
            <v>MI</v>
          </cell>
          <cell r="I941" t="str">
            <v>ITALIA</v>
          </cell>
          <cell r="J941" t="str">
            <v>02-4071480</v>
          </cell>
        </row>
        <row r="942">
          <cell r="B942">
            <v>5411</v>
          </cell>
          <cell r="C942" t="str">
            <v>ELKEY S.R.L.</v>
          </cell>
          <cell r="D942" t="str">
            <v>05927260017 05927260017</v>
          </cell>
          <cell r="E942" t="str">
            <v>VIA G.B. NICCOLINI, 12/A</v>
          </cell>
          <cell r="F942">
            <v>10146</v>
          </cell>
          <cell r="G942" t="str">
            <v>TORINO</v>
          </cell>
          <cell r="H942" t="str">
            <v>TO</v>
          </cell>
          <cell r="I942" t="str">
            <v>ITALIA</v>
          </cell>
          <cell r="J942" t="str">
            <v>011-7183011</v>
          </cell>
        </row>
        <row r="943">
          <cell r="B943">
            <v>69</v>
          </cell>
          <cell r="C943" t="str">
            <v>ELLEDI LOMBARDA DISTRIBUTORI S.A.S.</v>
          </cell>
          <cell r="D943" t="str">
            <v>00271430134 00271430134</v>
          </cell>
          <cell r="E943" t="str">
            <v>VIA G. GRASSI, 88</v>
          </cell>
          <cell r="F943">
            <v>22030</v>
          </cell>
          <cell r="G943" t="str">
            <v>LIPOMO</v>
          </cell>
          <cell r="H943" t="str">
            <v>CO</v>
          </cell>
          <cell r="I943" t="str">
            <v>ITALIA</v>
          </cell>
          <cell r="J943" t="str">
            <v>031-283962</v>
          </cell>
        </row>
        <row r="944">
          <cell r="B944">
            <v>1190</v>
          </cell>
          <cell r="C944" t="str">
            <v>ELLEDI S.A.S.</v>
          </cell>
          <cell r="D944" t="str">
            <v>02220110130 02220110130</v>
          </cell>
          <cell r="E944" t="str">
            <v>VIA PROVINCIALE PER  LECCO, 838</v>
          </cell>
          <cell r="F944">
            <v>22030</v>
          </cell>
          <cell r="G944" t="str">
            <v>LIPOMO</v>
          </cell>
          <cell r="H944" t="str">
            <v>CO</v>
          </cell>
          <cell r="I944" t="str">
            <v>ITALIA</v>
          </cell>
          <cell r="J944" t="str">
            <v>02-9373329</v>
          </cell>
        </row>
        <row r="945">
          <cell r="B945">
            <v>6940</v>
          </cell>
          <cell r="C945" t="str">
            <v>ELLEFFE DI LUCIANO  FRANCESCO</v>
          </cell>
          <cell r="D945" t="str">
            <v>02621460068 LCNFNC62M28H243 C</v>
          </cell>
          <cell r="E945" t="str">
            <v>VIA DELL' ADDOLORATA,  13</v>
          </cell>
          <cell r="F945">
            <v>15033</v>
          </cell>
          <cell r="G945" t="str">
            <v>CASALE  MONFERRATO</v>
          </cell>
          <cell r="H945" t="str">
            <v>AL</v>
          </cell>
          <cell r="I945" t="str">
            <v>ITALIA</v>
          </cell>
          <cell r="J945" t="str">
            <v>391-3864102</v>
          </cell>
        </row>
        <row r="946">
          <cell r="B946">
            <v>8404</v>
          </cell>
          <cell r="C946" t="str">
            <v>ELLEFFESSE DI SIMONE LUCA</v>
          </cell>
          <cell r="E946" t="str">
            <v>VIA MOLINO BASSI, 37</v>
          </cell>
          <cell r="F946">
            <v>20845</v>
          </cell>
          <cell r="G946" t="str">
            <v>SOVICO</v>
          </cell>
          <cell r="H946" t="str">
            <v>MB</v>
          </cell>
          <cell r="I946" t="str">
            <v>ITALIA</v>
          </cell>
          <cell r="J946" t="str">
            <v>338-3077256</v>
          </cell>
        </row>
        <row r="947">
          <cell r="B947">
            <v>3249</v>
          </cell>
          <cell r="C947" t="str">
            <v>ELLEGI S.N.C.</v>
          </cell>
          <cell r="D947" t="str">
            <v>08751570014 08751570014</v>
          </cell>
          <cell r="E947" t="str">
            <v>VIA ROSSINI, 29</v>
          </cell>
          <cell r="F947">
            <v>10093</v>
          </cell>
          <cell r="G947" t="str">
            <v>COLLEGNO</v>
          </cell>
          <cell r="H947" t="str">
            <v>TO</v>
          </cell>
          <cell r="I947" t="str">
            <v>ITALIA</v>
          </cell>
          <cell r="J947" t="str">
            <v>011-4152524</v>
          </cell>
        </row>
        <row r="948">
          <cell r="B948">
            <v>7434</v>
          </cell>
          <cell r="C948" t="str">
            <v>ELLEPI SRL</v>
          </cell>
          <cell r="D948" t="str">
            <v>05484110969</v>
          </cell>
          <cell r="E948" t="str">
            <v>VIA LECCO 184</v>
          </cell>
          <cell r="F948">
            <v>20864</v>
          </cell>
          <cell r="G948" t="str">
            <v>AGRATE  BRIANZA</v>
          </cell>
          <cell r="H948" t="str">
            <v>MB</v>
          </cell>
          <cell r="I948" t="str">
            <v>ITALIA</v>
          </cell>
          <cell r="J948" t="str">
            <v>396-892957</v>
          </cell>
        </row>
        <row r="949">
          <cell r="B949">
            <v>205</v>
          </cell>
          <cell r="C949" t="str">
            <v>ELLETI  DISTRIBUZIONE S.N. C. DI TRANI M. &amp; C.</v>
          </cell>
          <cell r="D949" t="str">
            <v>10248240151 10248240151</v>
          </cell>
          <cell r="E949" t="str">
            <v>VIA DELL' ARTIGIANATO,  21/23</v>
          </cell>
          <cell r="F949">
            <v>20077</v>
          </cell>
          <cell r="G949" t="str">
            <v>CERRO AL  LAMBRO</v>
          </cell>
          <cell r="H949" t="str">
            <v>MI</v>
          </cell>
          <cell r="I949" t="str">
            <v>ITALIA</v>
          </cell>
          <cell r="J949" t="str">
            <v>02-98236571</v>
          </cell>
        </row>
        <row r="950">
          <cell r="B950">
            <v>4865</v>
          </cell>
          <cell r="C950" t="str">
            <v>EMA VENDING S.R.L.</v>
          </cell>
          <cell r="D950" t="str">
            <v>02127440200 02127440200</v>
          </cell>
          <cell r="E950" t="str">
            <v>VIA M. CERRUTI</v>
          </cell>
          <cell r="F950">
            <v>25017</v>
          </cell>
          <cell r="G950" t="str">
            <v>LONATO</v>
          </cell>
          <cell r="H950" t="str">
            <v>BS</v>
          </cell>
          <cell r="I950" t="str">
            <v>ITALIA</v>
          </cell>
          <cell r="J950" t="str">
            <v>030-9130983</v>
          </cell>
        </row>
        <row r="951">
          <cell r="B951">
            <v>4915</v>
          </cell>
          <cell r="C951" t="str">
            <v>EMAR DI EMANUELA  LUSSETTI</v>
          </cell>
          <cell r="D951" t="str">
            <v>11309130018 LSSMNL64T55L219K</v>
          </cell>
          <cell r="E951" t="str">
            <v>VIA  BARLETTA, 33/E</v>
          </cell>
          <cell r="F951">
            <v>10137</v>
          </cell>
          <cell r="G951" t="str">
            <v>TORINO</v>
          </cell>
          <cell r="H951" t="str">
            <v>TO</v>
          </cell>
          <cell r="I951" t="str">
            <v>ITALIA</v>
          </cell>
          <cell r="J951" t="str">
            <v xml:space="preserve">011-19783691 </v>
          </cell>
        </row>
        <row r="952">
          <cell r="B952">
            <v>3208</v>
          </cell>
          <cell r="C952" t="str">
            <v>EMMECI  DISTRIBUTORI  AUTOMATICI S.R.L.</v>
          </cell>
          <cell r="D952" t="str">
            <v>06225140968</v>
          </cell>
          <cell r="E952" t="str">
            <v>VIA MODESTINO, 3</v>
          </cell>
          <cell r="F952">
            <v>20021</v>
          </cell>
          <cell r="G952" t="str">
            <v>MILANO</v>
          </cell>
          <cell r="H952" t="str">
            <v>MI</v>
          </cell>
          <cell r="I952" t="str">
            <v>ITALIA</v>
          </cell>
          <cell r="J952" t="str">
            <v xml:space="preserve">02-3542304 </v>
          </cell>
        </row>
        <row r="953">
          <cell r="B953">
            <v>4728</v>
          </cell>
          <cell r="C953" t="str">
            <v>EMMECI 3</v>
          </cell>
          <cell r="D953" t="str">
            <v>07320910966 07320910966</v>
          </cell>
          <cell r="E953" t="str">
            <v>VIA STRAUSS, 35</v>
          </cell>
          <cell r="F953">
            <v>20831</v>
          </cell>
          <cell r="G953" t="str">
            <v>SEREGNO</v>
          </cell>
          <cell r="H953" t="str">
            <v>MB</v>
          </cell>
          <cell r="I953" t="str">
            <v>ITALIA</v>
          </cell>
          <cell r="J953" t="str">
            <v xml:space="preserve">0362-232811 </v>
          </cell>
        </row>
        <row r="954">
          <cell r="B954">
            <v>7177</v>
          </cell>
          <cell r="C954" t="str">
            <v>EMPORIO DEL  GUSTO DI ARIAGNO  ELISABETTA</v>
          </cell>
          <cell r="D954" t="str">
            <v>02715400020 RGNLBT86A53L219 K</v>
          </cell>
          <cell r="E954" t="str">
            <v>VICOLO ANTONIO  GERMANO, 39</v>
          </cell>
          <cell r="F954">
            <v>13043</v>
          </cell>
          <cell r="G954" t="str">
            <v>CIGLIANO</v>
          </cell>
          <cell r="H954" t="str">
            <v>VC</v>
          </cell>
          <cell r="I954" t="str">
            <v>ITALIA</v>
          </cell>
          <cell r="J954" t="str">
            <v>340-8360777</v>
          </cell>
        </row>
        <row r="955">
          <cell r="B955">
            <v>10259</v>
          </cell>
          <cell r="C955" t="str">
            <v>EMPORIO DELLA CIALDA DI BONFANTE MIRCO</v>
          </cell>
          <cell r="D955" t="str">
            <v>03578590121 03578590121</v>
          </cell>
          <cell r="E955" t="str">
            <v>VIA LARGO GIARDINO, 7</v>
          </cell>
          <cell r="F955">
            <v>21052</v>
          </cell>
          <cell r="G955" t="str">
            <v>BUSTO ARSIZIO</v>
          </cell>
          <cell r="H955" t="str">
            <v>VA</v>
          </cell>
          <cell r="I955" t="str">
            <v>ITALIA</v>
          </cell>
          <cell r="J955" t="str">
            <v>391-7092751</v>
          </cell>
        </row>
        <row r="956">
          <cell r="B956">
            <v>6527</v>
          </cell>
          <cell r="C956" t="str">
            <v>EMPORIO MO.CA.FFE  S.N.C.</v>
          </cell>
          <cell r="D956" t="str">
            <v>04241520164 04241520164</v>
          </cell>
          <cell r="E956" t="str">
            <v>VIA PROVINCIALE, 2</v>
          </cell>
          <cell r="F956">
            <v>24022</v>
          </cell>
          <cell r="G956" t="str">
            <v>ALZANO  LOMBARDO</v>
          </cell>
          <cell r="H956" t="str">
            <v>BG</v>
          </cell>
          <cell r="I956" t="str">
            <v>ITALIA</v>
          </cell>
          <cell r="J956" t="str">
            <v xml:space="preserve">333-9825570 </v>
          </cell>
        </row>
        <row r="957">
          <cell r="B957">
            <v>9998</v>
          </cell>
          <cell r="C957" t="str">
            <v>ENNE PLASTICA GROUP</v>
          </cell>
          <cell r="E957" t="str">
            <v>VIA OLUBI, 1</v>
          </cell>
          <cell r="F957">
            <v>28013</v>
          </cell>
          <cell r="G957" t="str">
            <v>GATTICO-VERUNO</v>
          </cell>
          <cell r="H957" t="str">
            <v>NO</v>
          </cell>
          <cell r="I957" t="str">
            <v>ITALIA</v>
          </cell>
        </row>
        <row r="958">
          <cell r="B958">
            <v>4312</v>
          </cell>
          <cell r="C958" t="str">
            <v>ENNEDI DI  NEBULONI DAVIDE</v>
          </cell>
          <cell r="D958" t="str">
            <v>02721500128 NBLDVD77M29L682 P</v>
          </cell>
          <cell r="E958" t="str">
            <v>VIA BARLASSINA, 6</v>
          </cell>
          <cell r="F958">
            <v>21040</v>
          </cell>
          <cell r="G958" t="str">
            <v>VEDANO OLONA</v>
          </cell>
          <cell r="H958" t="str">
            <v>VA</v>
          </cell>
          <cell r="I958" t="str">
            <v>ITALIA</v>
          </cell>
          <cell r="J958" t="str">
            <v>031-4479514</v>
          </cell>
        </row>
        <row r="959">
          <cell r="B959">
            <v>2211</v>
          </cell>
          <cell r="C959" t="str">
            <v>ENNEEFFE S.R.L.  UNIPERSONALE</v>
          </cell>
          <cell r="D959" t="str">
            <v>07573160012 07573160012</v>
          </cell>
          <cell r="E959" t="str">
            <v>VIA DONATI, 14</v>
          </cell>
          <cell r="F959">
            <v>10121</v>
          </cell>
          <cell r="G959" t="str">
            <v>TORINO</v>
          </cell>
          <cell r="H959" t="str">
            <v>TO</v>
          </cell>
          <cell r="I959" t="str">
            <v>ITALIA</v>
          </cell>
          <cell r="J959" t="str">
            <v>347-2500794</v>
          </cell>
        </row>
        <row r="960">
          <cell r="B960">
            <v>10195</v>
          </cell>
          <cell r="C960" t="str">
            <v>ENNEGI S.A.S.</v>
          </cell>
          <cell r="E960" t="str">
            <v>II TRAVERSA DX VIALE DELL'ARTIGIANATO</v>
          </cell>
          <cell r="F960">
            <v>70026</v>
          </cell>
          <cell r="G960" t="str">
            <v>MODUGNO</v>
          </cell>
          <cell r="H960" t="str">
            <v>BA</v>
          </cell>
          <cell r="I960" t="str">
            <v>ITALIA</v>
          </cell>
          <cell r="J960" t="str">
            <v>081-584205</v>
          </cell>
        </row>
        <row r="961">
          <cell r="B961">
            <v>10196</v>
          </cell>
          <cell r="C961" t="str">
            <v>ENNEGI S.A.S.</v>
          </cell>
          <cell r="E961" t="str">
            <v>VIA PONZA, 7</v>
          </cell>
          <cell r="F961">
            <v>80026</v>
          </cell>
          <cell r="G961" t="str">
            <v>CASORIA</v>
          </cell>
          <cell r="H961" t="str">
            <v>NA</v>
          </cell>
          <cell r="I961" t="str">
            <v>ITALIA</v>
          </cell>
        </row>
        <row r="962">
          <cell r="B962">
            <v>6753</v>
          </cell>
          <cell r="C962" t="str">
            <v>ENOCAFFE 21 DI  BARZAGHI STEFANO</v>
          </cell>
          <cell r="D962" t="str">
            <v>05213160962</v>
          </cell>
          <cell r="E962" t="str">
            <v>VIA KENNEDY, 28</v>
          </cell>
          <cell r="F962">
            <v>20856</v>
          </cell>
          <cell r="G962" t="str">
            <v>CORREZZANA</v>
          </cell>
          <cell r="H962" t="str">
            <v>MB</v>
          </cell>
          <cell r="I962" t="str">
            <v>ITALIA</v>
          </cell>
          <cell r="J962" t="str">
            <v>328-1036530</v>
          </cell>
        </row>
        <row r="963">
          <cell r="B963">
            <v>7124</v>
          </cell>
          <cell r="C963" t="str">
            <v>ENTE NAZIONALE  BILATERALE  ITALIANO</v>
          </cell>
          <cell r="D963" t="str">
            <v>02142400684</v>
          </cell>
          <cell r="E963" t="str">
            <v>VIA XXII MAGGIO 1944 N.  54</v>
          </cell>
          <cell r="F963">
            <v>65013</v>
          </cell>
          <cell r="G963" t="str">
            <v>CITTA' SANT' ANGELO</v>
          </cell>
          <cell r="H963" t="str">
            <v>PE</v>
          </cell>
          <cell r="I963" t="str">
            <v>ITALIA</v>
          </cell>
          <cell r="J963"/>
        </row>
        <row r="964">
          <cell r="B964">
            <v>4975</v>
          </cell>
          <cell r="C964" t="str">
            <v>ENTERPRISE S.R. L.</v>
          </cell>
          <cell r="D964" t="str">
            <v>01724990385 01724990385</v>
          </cell>
          <cell r="E964" t="str">
            <v>VIA XXV APRILE, 18</v>
          </cell>
          <cell r="F964">
            <v>40020</v>
          </cell>
          <cell r="G964" t="str">
            <v>CASALFIUMANES E</v>
          </cell>
          <cell r="H964" t="str">
            <v>BO</v>
          </cell>
          <cell r="I964" t="str">
            <v>ITALIA</v>
          </cell>
          <cell r="J964" t="str">
            <v>342-0250388</v>
          </cell>
        </row>
        <row r="965">
          <cell r="B965">
            <v>5241</v>
          </cell>
          <cell r="C965" t="str">
            <v>EPOBLU S.N.C.</v>
          </cell>
          <cell r="D965" t="str">
            <v>07870630014 07870630014</v>
          </cell>
          <cell r="E965" t="str">
            <v>VIA PROVINCIALE, 2</v>
          </cell>
          <cell r="F965">
            <v>10010</v>
          </cell>
          <cell r="G965" t="str">
            <v>LORANZE'</v>
          </cell>
          <cell r="H965" t="str">
            <v>TO</v>
          </cell>
          <cell r="I965" t="str">
            <v>ITALIA</v>
          </cell>
          <cell r="J965" t="str">
            <v xml:space="preserve">0125-538805 </v>
          </cell>
        </row>
        <row r="966">
          <cell r="B966">
            <v>4966</v>
          </cell>
          <cell r="C966" t="str">
            <v>EPODRINK &amp;  COFFEE S.R.L.</v>
          </cell>
          <cell r="D966" t="str">
            <v>02499380034 02499380034</v>
          </cell>
          <cell r="E966" t="str">
            <v>VIA VERDI, 4</v>
          </cell>
          <cell r="F966">
            <v>28845</v>
          </cell>
          <cell r="G966" t="str">
            <v>DOMODOSSOLA</v>
          </cell>
          <cell r="H966" t="str">
            <v>VB</v>
          </cell>
          <cell r="I966" t="str">
            <v>ITALIA</v>
          </cell>
          <cell r="J966" t="str">
            <v>380-1376797</v>
          </cell>
        </row>
        <row r="967">
          <cell r="B967">
            <v>6118</v>
          </cell>
          <cell r="C967" t="str">
            <v>ERO.MATIC S.N.C.  DI D'ANGELO PAOLO  E C.</v>
          </cell>
          <cell r="D967" t="str">
            <v>01404410092 01404410092</v>
          </cell>
          <cell r="E967" t="str">
            <v>VIA DELLE INDUSTRIE,  226</v>
          </cell>
          <cell r="F967">
            <v>17012</v>
          </cell>
          <cell r="G967" t="str">
            <v>ALBISSOLA  MARINA</v>
          </cell>
          <cell r="H967" t="str">
            <v>SV</v>
          </cell>
          <cell r="I967" t="str">
            <v>ITALIA</v>
          </cell>
          <cell r="J967" t="str">
            <v xml:space="preserve">019-4002223 </v>
          </cell>
        </row>
        <row r="968">
          <cell r="B968">
            <v>6471</v>
          </cell>
          <cell r="C968" t="str">
            <v>ERRE SERVICE DI  SIMONE RIZZI</v>
          </cell>
          <cell r="D968" t="str">
            <v>09735760960 RZZSMN94D03E514 P</v>
          </cell>
          <cell r="E968" t="str">
            <v>VIA BUSTO ARSIZIO, 24</v>
          </cell>
          <cell r="F968">
            <v>20020</v>
          </cell>
          <cell r="G968" t="str">
            <v>BUSTO GAROLFO</v>
          </cell>
          <cell r="H968" t="str">
            <v>MI</v>
          </cell>
          <cell r="I968" t="str">
            <v>ITALIA</v>
          </cell>
          <cell r="J968" t="str">
            <v xml:space="preserve">0331-566892 </v>
          </cell>
        </row>
        <row r="969">
          <cell r="B969">
            <v>3724</v>
          </cell>
          <cell r="C969" t="str">
            <v>ERREDI S.N.C.  DI LUZZARO RONNI</v>
          </cell>
          <cell r="D969" t="str">
            <v>02214950905 02214950905</v>
          </cell>
          <cell r="E969" t="str">
            <v>LARGO PORTA NUOVA, 13</v>
          </cell>
          <cell r="F969">
            <v>7100</v>
          </cell>
          <cell r="G969" t="str">
            <v>SASSARI</v>
          </cell>
          <cell r="H969" t="str">
            <v>SS</v>
          </cell>
          <cell r="I969" t="str">
            <v>ITALIA</v>
          </cell>
          <cell r="J969" t="str">
            <v>328-9084592</v>
          </cell>
        </row>
        <row r="970">
          <cell r="B970">
            <v>6582</v>
          </cell>
          <cell r="C970" t="str">
            <v>ERREHOLDING S.R.L. S. A SOCIO UNICO</v>
          </cell>
          <cell r="D970" t="str">
            <v>04106960166 04106960166</v>
          </cell>
          <cell r="E970" t="str">
            <v>VIA SAN GIOVANNI  BOSCO, 50</v>
          </cell>
          <cell r="F970">
            <v>24126</v>
          </cell>
          <cell r="G970" t="str">
            <v>BERGAMO</v>
          </cell>
          <cell r="H970" t="str">
            <v>BG</v>
          </cell>
          <cell r="I970" t="str">
            <v>ITALIA</v>
          </cell>
          <cell r="J970" t="str">
            <v>035-330690</v>
          </cell>
        </row>
        <row r="971">
          <cell r="B971">
            <v>3320</v>
          </cell>
          <cell r="C971" t="str">
            <v>ESAM DI  ALESSANDRIA  ANDREA</v>
          </cell>
          <cell r="D971" t="str">
            <v>07267420011 LSSNDR73S27L219 E</v>
          </cell>
          <cell r="E971" t="str">
            <v>VIA ROSA LUXEMBOURG,  12/14</v>
          </cell>
          <cell r="F971">
            <v>10093</v>
          </cell>
          <cell r="G971" t="str">
            <v>COLLEGNO</v>
          </cell>
          <cell r="H971" t="str">
            <v>TO</v>
          </cell>
          <cell r="I971" t="str">
            <v>ITALIA</v>
          </cell>
          <cell r="J971" t="str">
            <v>011-7727122</v>
          </cell>
        </row>
        <row r="972">
          <cell r="B972">
            <v>4690</v>
          </cell>
          <cell r="C972" t="str">
            <v>ESEDRA REALE S.R. L.</v>
          </cell>
          <cell r="D972" t="str">
            <v>08943030018 08943030018</v>
          </cell>
          <cell r="E972" t="str">
            <v>VIA ANDREA MENSA, 37 G</v>
          </cell>
          <cell r="F972">
            <v>10078</v>
          </cell>
          <cell r="G972" t="str">
            <v>VENARIA REALE</v>
          </cell>
          <cell r="H972" t="str">
            <v>TO</v>
          </cell>
          <cell r="I972" t="str">
            <v>ITALIA</v>
          </cell>
          <cell r="J972" t="str">
            <v>011-4598392</v>
          </cell>
        </row>
        <row r="973">
          <cell r="B973">
            <v>2337</v>
          </cell>
          <cell r="C973" t="str">
            <v>ESPERIA DISTRIBUZIONE SRL</v>
          </cell>
          <cell r="E973" t="str">
            <v>VIA FRATELLI GRACCHI, 42</v>
          </cell>
          <cell r="F973">
            <v>20092</v>
          </cell>
          <cell r="G973" t="str">
            <v>CINISELLO BALSAMO</v>
          </cell>
          <cell r="H973" t="str">
            <v>MI</v>
          </cell>
          <cell r="I973" t="str">
            <v>ITALIA</v>
          </cell>
          <cell r="J973" t="str">
            <v>039-492511</v>
          </cell>
        </row>
        <row r="974">
          <cell r="B974">
            <v>5089</v>
          </cell>
          <cell r="C974" t="str">
            <v>ESPRESS DI ROSSI  CARLO</v>
          </cell>
          <cell r="D974" t="str">
            <v>05434040019 RSSCRL45S22C383 M</v>
          </cell>
          <cell r="E974" t="str">
            <v>STRADA CHIERI, 78</v>
          </cell>
          <cell r="F974">
            <v>10025</v>
          </cell>
          <cell r="G974" t="str">
            <v>PINO TORINESE</v>
          </cell>
          <cell r="H974" t="str">
            <v>TO</v>
          </cell>
          <cell r="I974" t="str">
            <v>ITALIA</v>
          </cell>
          <cell r="J974" t="str">
            <v>011-9412666</v>
          </cell>
        </row>
        <row r="975">
          <cell r="B975">
            <v>7474</v>
          </cell>
          <cell r="C975" t="str">
            <v>ESPRESS DI ROSSI  S.R.L.</v>
          </cell>
          <cell r="D975" t="str">
            <v>12446460011 12446460011</v>
          </cell>
          <cell r="E975" t="str">
            <v>STRADA CHIERI, 78</v>
          </cell>
          <cell r="F975">
            <v>10025</v>
          </cell>
          <cell r="G975" t="str">
            <v>PINO TORINESE</v>
          </cell>
          <cell r="H975" t="str">
            <v>TO</v>
          </cell>
          <cell r="I975" t="str">
            <v>ITALIA</v>
          </cell>
          <cell r="J975" t="str">
            <v>011-9412666</v>
          </cell>
        </row>
        <row r="976">
          <cell r="B976">
            <v>72</v>
          </cell>
          <cell r="C976" t="str">
            <v>ESPRESSO 85 DI  CRESPI M. &amp; C.S.A. S.</v>
          </cell>
          <cell r="D976" t="str">
            <v>01545110122 01545110122</v>
          </cell>
          <cell r="E976" t="str">
            <v>VIA MARSALA, 12</v>
          </cell>
          <cell r="F976">
            <v>21052</v>
          </cell>
          <cell r="G976" t="str">
            <v>BUSTO ARSIZIO</v>
          </cell>
          <cell r="H976" t="str">
            <v>VA</v>
          </cell>
          <cell r="I976" t="str">
            <v>ITALIA</v>
          </cell>
          <cell r="J976" t="str">
            <v>0331-620115</v>
          </cell>
        </row>
        <row r="977">
          <cell r="B977">
            <v>5571</v>
          </cell>
          <cell r="C977" t="str">
            <v>ESPRESSO CASA DI  SCOZIA VINCENZO</v>
          </cell>
          <cell r="D977" t="str">
            <v>02748300122 SCZVCN70C23F205 A</v>
          </cell>
          <cell r="E977" t="str">
            <v>VIA PIZZO, 22/2</v>
          </cell>
          <cell r="F977">
            <v>20086</v>
          </cell>
          <cell r="G977" t="str">
            <v>MOTTA  VISCONTI</v>
          </cell>
          <cell r="H977" t="str">
            <v>MI</v>
          </cell>
          <cell r="I977" t="str">
            <v>ITALIA</v>
          </cell>
          <cell r="J977" t="str">
            <v>02-89300227</v>
          </cell>
        </row>
        <row r="978">
          <cell r="B978">
            <v>1899</v>
          </cell>
          <cell r="C978" t="str">
            <v>ESPRESSO CENTER S.N.C.</v>
          </cell>
          <cell r="D978" t="str">
            <v>02744770138 02744770138</v>
          </cell>
          <cell r="E978" t="str">
            <v>VIA EUCLIDE, 6</v>
          </cell>
          <cell r="F978">
            <v>22063</v>
          </cell>
          <cell r="G978" t="str">
            <v>CANTU'</v>
          </cell>
          <cell r="H978" t="str">
            <v>CO</v>
          </cell>
          <cell r="I978" t="str">
            <v>ITALIA</v>
          </cell>
          <cell r="J978" t="str">
            <v>031-735256</v>
          </cell>
        </row>
        <row r="979">
          <cell r="B979">
            <v>7036</v>
          </cell>
          <cell r="C979" t="str">
            <v>ESPRESSO IN  CIALDE S.R.L.</v>
          </cell>
          <cell r="D979" t="str">
            <v>02709590026 02709590026</v>
          </cell>
          <cell r="E979" t="str">
            <v>VIA TORINO, 46</v>
          </cell>
          <cell r="F979">
            <v>13040</v>
          </cell>
          <cell r="G979" t="str">
            <v>BORGO D'ALE</v>
          </cell>
          <cell r="H979" t="str">
            <v>VC</v>
          </cell>
          <cell r="I979" t="str">
            <v>ITALIA</v>
          </cell>
          <cell r="J979" t="str">
            <v xml:space="preserve">349-7414726 </v>
          </cell>
        </row>
        <row r="980">
          <cell r="B980">
            <v>6557</v>
          </cell>
          <cell r="C980" t="str">
            <v>ESPRESSO MOMENT  SRLS</v>
          </cell>
          <cell r="D980" t="str">
            <v>01629300052 01629300052</v>
          </cell>
          <cell r="E980" t="str">
            <v>CORSO MATTEOTTI, 144</v>
          </cell>
          <cell r="F980">
            <v>14100</v>
          </cell>
          <cell r="G980" t="str">
            <v>ASTI</v>
          </cell>
          <cell r="H980" t="str">
            <v>AT</v>
          </cell>
          <cell r="I980" t="str">
            <v>ITALIA</v>
          </cell>
          <cell r="J980" t="str">
            <v>348-4592845</v>
          </cell>
        </row>
        <row r="981">
          <cell r="B981">
            <v>4588</v>
          </cell>
          <cell r="C981" t="str">
            <v>ESPRESSO SERVICE  S.R.L.</v>
          </cell>
          <cell r="D981" t="str">
            <v>03555440043 03555440043</v>
          </cell>
          <cell r="E981" t="str">
            <v>VIA DELL'ARTIGIANATO, 8</v>
          </cell>
          <cell r="F981">
            <v>12060</v>
          </cell>
          <cell r="G981" t="str">
            <v>GRINZANE  CAVOUR</v>
          </cell>
          <cell r="H981" t="str">
            <v>CN</v>
          </cell>
          <cell r="I981" t="str">
            <v>ITALIA</v>
          </cell>
          <cell r="J981" t="str">
            <v xml:space="preserve">0173-617365 </v>
          </cell>
        </row>
        <row r="982">
          <cell r="B982">
            <v>6815</v>
          </cell>
          <cell r="C982" t="str">
            <v>ESPRESSOART DI  BARATTI O. &amp;  CELLINI M. S.N.C.</v>
          </cell>
          <cell r="D982" t="str">
            <v>04060570985 04060570985</v>
          </cell>
          <cell r="E982" t="str">
            <v>VIA PARTI SERA IV TRAV., 16</v>
          </cell>
          <cell r="F982">
            <v>25016</v>
          </cell>
          <cell r="G982" t="str">
            <v>GHEDI</v>
          </cell>
          <cell r="H982" t="str">
            <v>BS</v>
          </cell>
          <cell r="I982" t="str">
            <v>ITALIA</v>
          </cell>
          <cell r="J982" t="str">
            <v>339-2868624</v>
          </cell>
        </row>
        <row r="983">
          <cell r="B983">
            <v>6746</v>
          </cell>
          <cell r="C983" t="str">
            <v>ESPRESSOART DI BARATTI OLIVIERO</v>
          </cell>
          <cell r="D983" t="str">
            <v>03794840987 BRTLVR78B03E526F</v>
          </cell>
          <cell r="E983" t="str">
            <v>VIA PARTI SERA, 16</v>
          </cell>
          <cell r="F983">
            <v>25016</v>
          </cell>
          <cell r="G983" t="str">
            <v>GHEDI</v>
          </cell>
          <cell r="H983" t="str">
            <v>BS</v>
          </cell>
          <cell r="I983" t="str">
            <v>ITALIA</v>
          </cell>
          <cell r="J983" t="str">
            <v>339-2868624</v>
          </cell>
        </row>
        <row r="984">
          <cell r="B984">
            <v>4824</v>
          </cell>
          <cell r="C984" t="str">
            <v>ESPRESSOLAB DI DI  CARLO MARCO</v>
          </cell>
          <cell r="D984" t="str">
            <v>02349570990 DCRMRC76H13D96 9I</v>
          </cell>
          <cell r="E984" t="str">
            <v>VIA RIO TORBIDO, 5B/5C</v>
          </cell>
          <cell r="F984">
            <v>16165</v>
          </cell>
          <cell r="G984" t="str">
            <v>GENOVA</v>
          </cell>
          <cell r="H984" t="str">
            <v>GE</v>
          </cell>
          <cell r="I984" t="str">
            <v>ITALIA</v>
          </cell>
          <cell r="J984" t="str">
            <v>010-8084452</v>
          </cell>
        </row>
        <row r="985">
          <cell r="B985">
            <v>2806</v>
          </cell>
          <cell r="C985" t="str">
            <v>ESSEGI S.N.C.</v>
          </cell>
          <cell r="D985" t="str">
            <v>01517450993 01517450993</v>
          </cell>
          <cell r="E985" t="str">
            <v>VIA RIO TORBIDO, 5B/5C</v>
          </cell>
          <cell r="F985">
            <v>16165</v>
          </cell>
          <cell r="G985" t="str">
            <v>GENOVA</v>
          </cell>
          <cell r="H985" t="str">
            <v>GE</v>
          </cell>
          <cell r="I985" t="str">
            <v>ITALIA</v>
          </cell>
          <cell r="J985" t="str">
            <v>010-8084452</v>
          </cell>
        </row>
        <row r="986">
          <cell r="B986">
            <v>4361</v>
          </cell>
          <cell r="C986" t="str">
            <v>EURO 2002 DI  MARTINISI</v>
          </cell>
          <cell r="D986" t="str">
            <v>04924060017 MRTGCR56E26L219 E</v>
          </cell>
          <cell r="E986" t="str">
            <v>VIA STEFANAT, 183</v>
          </cell>
          <cell r="F986">
            <v>10078</v>
          </cell>
          <cell r="G986" t="str">
            <v>VENARIA</v>
          </cell>
          <cell r="H986" t="str">
            <v>TO</v>
          </cell>
          <cell r="I986" t="str">
            <v>ITALIA</v>
          </cell>
          <cell r="J986" t="str">
            <v>339-1764654</v>
          </cell>
        </row>
        <row r="987">
          <cell r="B987">
            <v>5201</v>
          </cell>
          <cell r="C987" t="str">
            <v>EURO CAFFE' DISTRIBUZIONI S.N.C.</v>
          </cell>
          <cell r="D987" t="str">
            <v>07872960013 07872960013</v>
          </cell>
          <cell r="E987" t="str">
            <v>VIA MONTE NOVEGNO,  24/B</v>
          </cell>
          <cell r="F987">
            <v>10137</v>
          </cell>
          <cell r="G987" t="str">
            <v>TORINO</v>
          </cell>
          <cell r="H987" t="str">
            <v>TO</v>
          </cell>
          <cell r="I987" t="str">
            <v>ITALIA</v>
          </cell>
          <cell r="J987" t="str">
            <v xml:space="preserve">339-5606909 </v>
          </cell>
        </row>
        <row r="988">
          <cell r="B988">
            <v>4954</v>
          </cell>
          <cell r="C988" t="str">
            <v>EURO GROUP S.R.L.</v>
          </cell>
          <cell r="D988" t="str">
            <v>02008450989 02008450989 02008450989</v>
          </cell>
          <cell r="E988" t="str">
            <v>VIA NAZARIO SAURO, 1</v>
          </cell>
          <cell r="F988">
            <v>25015</v>
          </cell>
          <cell r="G988" t="str">
            <v>DESENZANO DEL  GARDA</v>
          </cell>
          <cell r="H988" t="str">
            <v>BS</v>
          </cell>
          <cell r="I988" t="str">
            <v>ITALIA</v>
          </cell>
          <cell r="J988" t="str">
            <v>030-9912957</v>
          </cell>
        </row>
        <row r="989">
          <cell r="B989">
            <v>6903</v>
          </cell>
          <cell r="C989" t="str">
            <v>EURO WASH  AUTOLAVAGGI DI  COCO MASSIMO</v>
          </cell>
          <cell r="D989" t="str">
            <v>03160610121 CCOMSM75A19L682 I</v>
          </cell>
          <cell r="E989" t="str">
            <v>VIA PROVINCIALE, 53</v>
          </cell>
          <cell r="F989">
            <v>21030</v>
          </cell>
          <cell r="G989" t="str">
            <v>MESENZANA</v>
          </cell>
          <cell r="H989" t="str">
            <v>VA</v>
          </cell>
          <cell r="I989" t="str">
            <v>ITALIA</v>
          </cell>
          <cell r="J989" t="str">
            <v>348-3530987</v>
          </cell>
        </row>
        <row r="990">
          <cell r="B990">
            <v>5449</v>
          </cell>
          <cell r="C990" t="str">
            <v>EUROBUS CUNEO   SRL</v>
          </cell>
          <cell r="D990" t="str">
            <v>02852990049 02852990049</v>
          </cell>
          <cell r="E990" t="str">
            <v>VIA VILLAFALLETTO, 11  BIS</v>
          </cell>
          <cell r="F990">
            <v>12100</v>
          </cell>
          <cell r="G990" t="str">
            <v>MADONNA DELL' OLMO</v>
          </cell>
          <cell r="H990" t="str">
            <v>CN</v>
          </cell>
          <cell r="I990" t="str">
            <v>ITALIA</v>
          </cell>
          <cell r="J990" t="str">
            <v>0171-412222</v>
          </cell>
        </row>
        <row r="991">
          <cell r="B991">
            <v>1198</v>
          </cell>
          <cell r="C991" t="str">
            <v>EUROCAFFE' S.N.C.</v>
          </cell>
          <cell r="D991" t="str">
            <v>02228740136 02228740136</v>
          </cell>
          <cell r="E991" t="str">
            <v>VIA SPLUGA, 64</v>
          </cell>
          <cell r="F991">
            <v>22063</v>
          </cell>
          <cell r="G991" t="str">
            <v>CANTU'</v>
          </cell>
          <cell r="H991" t="str">
            <v>CO</v>
          </cell>
          <cell r="I991" t="str">
            <v>ITALIA</v>
          </cell>
          <cell r="J991" t="str">
            <v>031-3515623</v>
          </cell>
        </row>
        <row r="992">
          <cell r="B992">
            <v>10325</v>
          </cell>
          <cell r="C992" t="str">
            <v>COFFEE &amp; MORE DI CECILIA PINTO</v>
          </cell>
          <cell r="E992" t="str">
            <v>VIA VITTORIO VENETO, 34</v>
          </cell>
          <cell r="F992">
            <v>21016</v>
          </cell>
          <cell r="G992" t="str">
            <v>LUINO</v>
          </cell>
          <cell r="H992" t="str">
            <v xml:space="preserve">VA </v>
          </cell>
          <cell r="I992" t="str">
            <v>ITALIA</v>
          </cell>
          <cell r="J992" t="str">
            <v>0332-534419</v>
          </cell>
        </row>
        <row r="993">
          <cell r="B993">
            <v>9887</v>
          </cell>
          <cell r="C993" t="str">
            <v>EUROCOMMERCIO</v>
          </cell>
          <cell r="E993" t="str">
            <v>VIALE MANZONI, 56</v>
          </cell>
          <cell r="F993">
            <v>21018</v>
          </cell>
          <cell r="G993" t="str">
            <v>SESTO CALENDE</v>
          </cell>
          <cell r="H993" t="str">
            <v>VA</v>
          </cell>
          <cell r="I993" t="str">
            <v>ITALIA</v>
          </cell>
          <cell r="J993" t="str">
            <v>327-7941666</v>
          </cell>
        </row>
        <row r="994">
          <cell r="B994">
            <v>6782</v>
          </cell>
          <cell r="C994" t="str">
            <v>EURODISPENSER S. R.L.</v>
          </cell>
          <cell r="D994" t="str">
            <v>05647751006 05647751006</v>
          </cell>
          <cell r="E994" t="str">
            <v>VIA GIOVANNI BATTISTA  PIRELLI, 14</v>
          </cell>
          <cell r="F994">
            <v>133</v>
          </cell>
          <cell r="G994" t="str">
            <v>ROMA</v>
          </cell>
          <cell r="H994" t="str">
            <v>RM</v>
          </cell>
          <cell r="I994" t="str">
            <v>ITALIA</v>
          </cell>
          <cell r="J994" t="str">
            <v>06-20427640</v>
          </cell>
        </row>
        <row r="995">
          <cell r="B995">
            <v>4941</v>
          </cell>
          <cell r="C995" t="str">
            <v>EUROFOOD S.R.L.</v>
          </cell>
          <cell r="D995" t="str">
            <v>01196640880 01196640880</v>
          </cell>
          <cell r="E995" t="str">
            <v>VIA CARDUCCI, 111</v>
          </cell>
          <cell r="F995">
            <v>97011</v>
          </cell>
          <cell r="G995" t="str">
            <v>ACATE</v>
          </cell>
          <cell r="H995" t="str">
            <v>RG</v>
          </cell>
          <cell r="I995" t="str">
            <v>ITALIA</v>
          </cell>
          <cell r="J995" t="str">
            <v>0932-870257</v>
          </cell>
        </row>
        <row r="996">
          <cell r="B996">
            <v>4943</v>
          </cell>
          <cell r="C996" t="str">
            <v>EUROFOOD S.R.L. c/o IFI</v>
          </cell>
          <cell r="D996" t="str">
            <v>01196640880 01196640880</v>
          </cell>
          <cell r="E996" t="str">
            <v>CONTRADA DIFESA, 5</v>
          </cell>
          <cell r="F996">
            <v>88050</v>
          </cell>
          <cell r="G996" t="str">
            <v>CARAFFA DI CATANZARO</v>
          </cell>
          <cell r="H996" t="str">
            <v>CZ</v>
          </cell>
          <cell r="I996" t="str">
            <v>ITALIA</v>
          </cell>
          <cell r="J996" t="str">
            <v>0932-870257</v>
          </cell>
        </row>
        <row r="997">
          <cell r="B997">
            <v>4703</v>
          </cell>
          <cell r="C997" t="str">
            <v>EUROKLAP DI  LYUDMYLA  KRYVENKO</v>
          </cell>
          <cell r="D997" t="str">
            <v>11150610019 KRYLDM81L44Z138 B</v>
          </cell>
          <cell r="E997" t="str">
            <v>VIA PERGOLESI, 176/B</v>
          </cell>
          <cell r="F997">
            <v>10154</v>
          </cell>
          <cell r="G997" t="str">
            <v>TORINO</v>
          </cell>
          <cell r="H997" t="str">
            <v>TO</v>
          </cell>
          <cell r="I997" t="str">
            <v>ITALIA</v>
          </cell>
          <cell r="J997" t="str">
            <v>366-9581500</v>
          </cell>
        </row>
        <row r="998">
          <cell r="B998">
            <v>6068</v>
          </cell>
          <cell r="C998" t="str">
            <v>EUROLINE DI  BIZZOCO VITO</v>
          </cell>
          <cell r="D998" t="str">
            <v>07328870014 BZZVTI66D24F604 D</v>
          </cell>
          <cell r="E998" t="str">
            <v>VIA ROMAGNANO, 23</v>
          </cell>
          <cell r="F998">
            <v>10145</v>
          </cell>
          <cell r="G998" t="str">
            <v>TORINO</v>
          </cell>
          <cell r="H998" t="str">
            <v>TO</v>
          </cell>
          <cell r="I998" t="str">
            <v>ITALIA</v>
          </cell>
          <cell r="J998" t="str">
            <v>348-2294127</v>
          </cell>
        </row>
        <row r="999">
          <cell r="B999">
            <v>4190</v>
          </cell>
          <cell r="C999" t="str">
            <v>EUROMATIC  SERVICE S.R.L.</v>
          </cell>
          <cell r="D999" t="str">
            <v>01569780669</v>
          </cell>
          <cell r="E999" t="str">
            <v>STRADA PROVINCIALE  FORULENSE KM 12980</v>
          </cell>
          <cell r="F999">
            <v>67019</v>
          </cell>
          <cell r="G999" t="str">
            <v>SCOPPITO</v>
          </cell>
          <cell r="H999" t="str">
            <v>AQ</v>
          </cell>
          <cell r="I999" t="str">
            <v>ITALIA</v>
          </cell>
          <cell r="J999" t="str">
            <v>0862-728544</v>
          </cell>
        </row>
        <row r="1000">
          <cell r="B1000">
            <v>5468</v>
          </cell>
          <cell r="C1000" t="str">
            <v>EUROMATIC DI  GOZZANO GUIDO</v>
          </cell>
          <cell r="D1000" t="str">
            <v>06560400019 GZZGDU60M11E379 N</v>
          </cell>
          <cell r="E1000" t="str">
            <v>VIA C. MALESINA, 5</v>
          </cell>
          <cell r="F1000">
            <v>10011</v>
          </cell>
          <cell r="G1000" t="str">
            <v>AGLIE'</v>
          </cell>
          <cell r="H1000" t="str">
            <v>TO</v>
          </cell>
          <cell r="I1000" t="str">
            <v>ITALIA</v>
          </cell>
          <cell r="J1000" t="str">
            <v>0124-330115</v>
          </cell>
        </row>
        <row r="1001">
          <cell r="B1001">
            <v>2445</v>
          </cell>
          <cell r="C1001" t="str">
            <v>EUROP SERVICE  DI ZORZO SEVERINO</v>
          </cell>
          <cell r="D1001" t="str">
            <v>02259650022 ZRZSRN36P24L199 O</v>
          </cell>
          <cell r="E1001" t="str">
            <v>VIA TRENTO, 7</v>
          </cell>
          <cell r="F1001">
            <v>21041</v>
          </cell>
          <cell r="G1001" t="str">
            <v>ALBIZZATE</v>
          </cell>
          <cell r="H1001" t="str">
            <v>VA</v>
          </cell>
          <cell r="I1001" t="str">
            <v>ITALIA</v>
          </cell>
          <cell r="J1001" t="str">
            <v>0331-994521</v>
          </cell>
        </row>
        <row r="1002">
          <cell r="B1002">
            <v>4829</v>
          </cell>
          <cell r="C1002" t="str">
            <v>EURORISTORAZIONE S.R.L.</v>
          </cell>
          <cell r="D1002" t="str">
            <v>01998810244 01998810244</v>
          </cell>
          <cell r="E1002" t="str">
            <v>VIA SAVONA, 144</v>
          </cell>
          <cell r="F1002">
            <v>36040</v>
          </cell>
          <cell r="G1002" t="str">
            <v>TORRI DI  QUARTESOLO</v>
          </cell>
          <cell r="H1002" t="str">
            <v>VI</v>
          </cell>
          <cell r="I1002" t="str">
            <v>ITALIA</v>
          </cell>
          <cell r="J1002" t="str">
            <v>0444-580699</v>
          </cell>
        </row>
        <row r="1003">
          <cell r="B1003">
            <v>5979</v>
          </cell>
          <cell r="C1003" t="str">
            <v>EUROSERVICE S.A.S. DI SICILIANI  DOMENICO &amp; C.</v>
          </cell>
          <cell r="D1003" t="str">
            <v>01196120081 01196120081</v>
          </cell>
          <cell r="E1003" t="str">
            <v>VIA BEGLINI, 40</v>
          </cell>
          <cell r="F1003">
            <v>18018</v>
          </cell>
          <cell r="G1003" t="str">
            <v>ARMA DI TAGGIA</v>
          </cell>
          <cell r="H1003" t="str">
            <v>IM</v>
          </cell>
          <cell r="I1003" t="str">
            <v>ITALIA</v>
          </cell>
          <cell r="J1003" t="str">
            <v>0184-448009</v>
          </cell>
        </row>
        <row r="1004">
          <cell r="B1004">
            <v>2224</v>
          </cell>
          <cell r="C1004" t="str">
            <v>EUSEBIO ANDREA</v>
          </cell>
          <cell r="D1004" t="str">
            <v>SBENDR47H08F889I</v>
          </cell>
          <cell r="E1004" t="str">
            <v>VIA S.PELLICO, 8</v>
          </cell>
          <cell r="F1004">
            <v>10042</v>
          </cell>
          <cell r="G1004" t="str">
            <v>NICHELINO</v>
          </cell>
          <cell r="H1004" t="str">
            <v>TO</v>
          </cell>
          <cell r="I1004" t="str">
            <v>ITALIA</v>
          </cell>
          <cell r="J1004" t="str">
            <v>348-8095806</v>
          </cell>
        </row>
        <row r="1005">
          <cell r="B1005">
            <v>6919</v>
          </cell>
          <cell r="C1005" t="str">
            <v>EVOCA GROUP SPA - UFFICIO RICAMBI</v>
          </cell>
          <cell r="D1005" t="str">
            <v>05035600963 05035600963</v>
          </cell>
          <cell r="E1005" t="str">
            <v>VIA ROMA 24</v>
          </cell>
          <cell r="F1005">
            <v>24030</v>
          </cell>
          <cell r="G1005" t="str">
            <v>VALBREMBO</v>
          </cell>
          <cell r="I1005" t="str">
            <v>ITALIA</v>
          </cell>
          <cell r="J1005"/>
        </row>
        <row r="1006">
          <cell r="B1006">
            <v>4525</v>
          </cell>
          <cell r="C1006" t="str">
            <v>EVS SERVICE S.R.L.</v>
          </cell>
          <cell r="D1006" t="str">
            <v>08626830965 08626830965</v>
          </cell>
          <cell r="E1006" t="str">
            <v>VIA LAVORATORI  AUTOBIANCHI, 1</v>
          </cell>
          <cell r="F1006">
            <v>20832</v>
          </cell>
          <cell r="G1006" t="str">
            <v>DESIO</v>
          </cell>
          <cell r="H1006" t="str">
            <v>MB</v>
          </cell>
          <cell r="I1006" t="str">
            <v>ITALIA</v>
          </cell>
          <cell r="J1006" t="str">
            <v>0362-805065</v>
          </cell>
        </row>
        <row r="1007">
          <cell r="B1007">
            <v>6498</v>
          </cell>
          <cell r="C1007" t="str">
            <v>EWTRADE EWA  MARZEC</v>
          </cell>
          <cell r="D1007" t="str">
            <v>5341385481</v>
          </cell>
          <cell r="E1007" t="str">
            <v>AL. WOJSKA POLSKIEGO,  32/24</v>
          </cell>
          <cell r="F1007">
            <v>5800</v>
          </cell>
          <cell r="G1007" t="str">
            <v>PRUSZKOW  -  POLONIA -</v>
          </cell>
          <cell r="I1007" t="str">
            <v>Polonia</v>
          </cell>
          <cell r="J1007" t="str">
            <v>0048-500075255</v>
          </cell>
        </row>
        <row r="1008">
          <cell r="B1008">
            <v>1560</v>
          </cell>
          <cell r="C1008" t="str">
            <v>EXPRESS CAFE  THEODOSOPOULOS  ILIA NICOLAOS</v>
          </cell>
          <cell r="D1008" t="str">
            <v>024184976</v>
          </cell>
          <cell r="E1008" t="str">
            <v>KOSTIS PALAMA, 33  KATO PATISSIA</v>
          </cell>
          <cell r="F1008">
            <v>11141</v>
          </cell>
          <cell r="G1008" t="str">
            <v>ATHENS -  GREECE</v>
          </cell>
          <cell r="I1008" t="str">
            <v>GRECIA</v>
          </cell>
          <cell r="J1008" t="str">
            <v>0030194465588 9</v>
          </cell>
        </row>
        <row r="1009">
          <cell r="B1009">
            <v>4643</v>
          </cell>
          <cell r="C1009" t="str">
            <v>EXPRESS POINT S.N. C. DI PEZZELLA  SIMONA &amp; C.</v>
          </cell>
          <cell r="D1009" t="str">
            <v>10908100018 10908100018</v>
          </cell>
          <cell r="E1009" t="str">
            <v>PIAZZA CARLO ALBERTO  SNC</v>
          </cell>
          <cell r="F1009">
            <v>10041</v>
          </cell>
          <cell r="G1009" t="str">
            <v>CARIGNANO</v>
          </cell>
          <cell r="H1009" t="str">
            <v>TO</v>
          </cell>
          <cell r="I1009" t="str">
            <v>ITALIA</v>
          </cell>
          <cell r="J1009" t="str">
            <v>011-5501602</v>
          </cell>
        </row>
        <row r="1010">
          <cell r="B1010">
            <v>6765</v>
          </cell>
          <cell r="C1010" t="str">
            <v>EXTRA VENDING DI  CIRINCIONE  ANTONIO</v>
          </cell>
          <cell r="D1010" t="str">
            <v>04908010822 CRNNTN74P06G273 Q</v>
          </cell>
          <cell r="E1010" t="str">
            <v>VIA A. DE GASPERI, TRAV  45</v>
          </cell>
          <cell r="F1010">
            <v>90010</v>
          </cell>
          <cell r="G1010" t="str">
            <v>LASCARI</v>
          </cell>
          <cell r="H1010" t="str">
            <v>PA</v>
          </cell>
          <cell r="I1010" t="str">
            <v>ITALIA</v>
          </cell>
          <cell r="J1010" t="str">
            <v>347-0029593</v>
          </cell>
        </row>
        <row r="1011">
          <cell r="B1011">
            <v>4548</v>
          </cell>
          <cell r="C1011" t="str">
            <v>F.A. AUTO SRL</v>
          </cell>
          <cell r="D1011" t="str">
            <v>03166430128 03166430128</v>
          </cell>
          <cell r="E1011" t="str">
            <v>VIA PROCACCINI, 10</v>
          </cell>
          <cell r="F1011">
            <v>21100</v>
          </cell>
          <cell r="G1011" t="str">
            <v>VARESE</v>
          </cell>
          <cell r="H1011" t="str">
            <v>VA</v>
          </cell>
          <cell r="I1011" t="str">
            <v>ITALIA</v>
          </cell>
        </row>
        <row r="1012">
          <cell r="B1012">
            <v>2488</v>
          </cell>
          <cell r="C1012" t="str">
            <v>F.A.R.E.  DI  FUSARI ELIS</v>
          </cell>
          <cell r="D1012" t="str">
            <v>01525020937 01525020937</v>
          </cell>
          <cell r="E1012" t="str">
            <v>VIA DEI SOLDI, 2/11</v>
          </cell>
          <cell r="F1012">
            <v>33070</v>
          </cell>
          <cell r="G1012" t="str">
            <v>BRUGHERA</v>
          </cell>
          <cell r="H1012" t="str">
            <v>PN</v>
          </cell>
          <cell r="I1012" t="str">
            <v>ITALIA</v>
          </cell>
          <cell r="J1012" t="str">
            <v>0434-080524</v>
          </cell>
        </row>
        <row r="1013">
          <cell r="B1013">
            <v>6394</v>
          </cell>
          <cell r="C1013" t="str">
            <v>F.B. AURUM S.N.C.</v>
          </cell>
          <cell r="D1013" t="str">
            <v>00008310070</v>
          </cell>
          <cell r="E1013" t="str">
            <v>VIA DE TILLIER, 12</v>
          </cell>
          <cell r="F1013">
            <v>11100</v>
          </cell>
          <cell r="G1013" t="str">
            <v>AOSTA</v>
          </cell>
          <cell r="H1013" t="str">
            <v>AO</v>
          </cell>
          <cell r="I1013" t="str">
            <v>ITALIA</v>
          </cell>
          <cell r="J1013" t="str">
            <v>0165-846878</v>
          </cell>
        </row>
        <row r="1014">
          <cell r="B1014">
            <v>3578</v>
          </cell>
          <cell r="C1014" t="str">
            <v>F.D.K. COMPANY S.A. S. DI FABIANO  GREGORIO &amp; C.</v>
          </cell>
          <cell r="D1014" t="str">
            <v>10161600019 10161600019</v>
          </cell>
          <cell r="E1014" t="str">
            <v>STRADA POLIGONO, 8</v>
          </cell>
          <cell r="F1014">
            <v>10070</v>
          </cell>
          <cell r="G1014" t="str">
            <v>SAN CARLO  CANAVESE</v>
          </cell>
          <cell r="H1014" t="str">
            <v>TO</v>
          </cell>
          <cell r="I1014" t="str">
            <v>ITALIA</v>
          </cell>
          <cell r="J1014" t="str">
            <v>347-4481359</v>
          </cell>
        </row>
        <row r="1015">
          <cell r="B1015">
            <v>4159</v>
          </cell>
          <cell r="C1015" t="str">
            <v>F.P. DEI F.LLI PRIMI  S.R.L</v>
          </cell>
          <cell r="D1015" t="str">
            <v>01340700127 01340700127</v>
          </cell>
          <cell r="E1015" t="str">
            <v xml:space="preserve">VIALE BORRI, 41/B </v>
          </cell>
          <cell r="F1015">
            <v>21053</v>
          </cell>
          <cell r="G1015" t="str">
            <v>CASTELLANZA</v>
          </cell>
          <cell r="H1015" t="str">
            <v>VA</v>
          </cell>
          <cell r="I1015" t="str">
            <v>ITALIA</v>
          </cell>
          <cell r="J1015" t="str">
            <v>0331-329963</v>
          </cell>
        </row>
        <row r="1016">
          <cell r="B1016">
            <v>7534</v>
          </cell>
          <cell r="C1016" t="str">
            <v>FABBRI  ALESSANDRO</v>
          </cell>
          <cell r="D1016" t="str">
            <v>FBBLSN80E09D299 H</v>
          </cell>
          <cell r="E1016" t="str">
            <v>VIA GIOTTO, 1</v>
          </cell>
          <cell r="F1016">
            <v>50060</v>
          </cell>
          <cell r="G1016" t="str">
            <v>LONDA</v>
          </cell>
          <cell r="H1016" t="str">
            <v>FI</v>
          </cell>
          <cell r="I1016" t="str">
            <v>ITALIA</v>
          </cell>
          <cell r="J1016" t="str">
            <v>339-2047682</v>
          </cell>
        </row>
        <row r="1017">
          <cell r="B1017">
            <v>517</v>
          </cell>
          <cell r="C1017" t="str">
            <v>FACCHINETTI  VENDING  DISTRIBUTORI  AUTOMATICI SA</v>
          </cell>
          <cell r="D1017" t="str">
            <v>698624</v>
          </cell>
          <cell r="E1017" t="str">
            <v>VICOLO RIVA DELL' ANGELO</v>
          </cell>
          <cell r="F1017">
            <v>6818</v>
          </cell>
          <cell r="G1017" t="str">
            <v>MELANO -  SVIZZERA -</v>
          </cell>
          <cell r="I1017" t="str">
            <v>SVIZZERA</v>
          </cell>
          <cell r="J1017" t="str">
            <v>004191- 6482022</v>
          </cell>
        </row>
        <row r="1018">
          <cell r="B1018">
            <v>4923</v>
          </cell>
          <cell r="C1018" t="str">
            <v>FACCIO  ALESSANDRO</v>
          </cell>
          <cell r="D1018" t="str">
            <v>11459900012 FCCLSN74P16H355 Y</v>
          </cell>
          <cell r="E1018" t="str">
            <v>VIA BIONAZ, 10</v>
          </cell>
          <cell r="F1018">
            <v>10142</v>
          </cell>
          <cell r="G1018" t="str">
            <v>TORINO</v>
          </cell>
          <cell r="H1018" t="str">
            <v>TO</v>
          </cell>
          <cell r="I1018" t="str">
            <v>ITALIA</v>
          </cell>
          <cell r="J1018" t="str">
            <v>348-0544255</v>
          </cell>
        </row>
        <row r="1019">
          <cell r="B1019">
            <v>7125</v>
          </cell>
          <cell r="C1019" t="str">
            <v>FACCIOLI STEFANO</v>
          </cell>
          <cell r="D1019" t="str">
            <v>FCCSFN78S07L840 X</v>
          </cell>
          <cell r="E1019" t="str">
            <v>VIA ARZIGNANO 190</v>
          </cell>
          <cell r="F1019">
            <v>36072</v>
          </cell>
          <cell r="G1019" t="str">
            <v>CHIAMPO</v>
          </cell>
          <cell r="H1019" t="str">
            <v>VI</v>
          </cell>
          <cell r="I1019" t="str">
            <v>ITALIA</v>
          </cell>
          <cell r="J1019" t="str">
            <v>338-2926104</v>
          </cell>
        </row>
        <row r="1020">
          <cell r="B1020">
            <v>7322</v>
          </cell>
          <cell r="C1020" t="str">
            <v>FACCIORUSSO  DOMENICO</v>
          </cell>
          <cell r="D1020" t="str">
            <v>FCCDNC51B20H287 V</v>
          </cell>
          <cell r="E1020" t="str">
            <v>PIAZZA SANDRO PERTINI, 2/B</v>
          </cell>
          <cell r="F1020">
            <v>71010</v>
          </cell>
          <cell r="G1020" t="str">
            <v>RIGNANO  GARGANICO</v>
          </cell>
          <cell r="H1020" t="str">
            <v>FG</v>
          </cell>
          <cell r="I1020" t="str">
            <v>ITALIA</v>
          </cell>
          <cell r="J1020" t="str">
            <v>340-7198447</v>
          </cell>
        </row>
        <row r="1021">
          <cell r="B1021">
            <v>6869</v>
          </cell>
          <cell r="C1021" t="str">
            <v>FADIA S.R.L.S</v>
          </cell>
          <cell r="D1021" t="str">
            <v>15016671008 15016671008</v>
          </cell>
          <cell r="E1021" t="str">
            <v>VIA ISIMBARDI, 10</v>
          </cell>
          <cell r="F1021">
            <v>22060</v>
          </cell>
          <cell r="G1021" t="str">
            <v>NOVEDRATE</v>
          </cell>
          <cell r="H1021" t="str">
            <v>CO</v>
          </cell>
          <cell r="I1021" t="str">
            <v>ITALIA</v>
          </cell>
          <cell r="J1021" t="str">
            <v>349-4654357</v>
          </cell>
        </row>
        <row r="1022">
          <cell r="B1022">
            <v>5589</v>
          </cell>
          <cell r="C1022" t="str">
            <v>FALCITELLI TIZIANO</v>
          </cell>
          <cell r="D1022" t="str">
            <v>08460660015 FLCTZN66P18L219K</v>
          </cell>
          <cell r="E1022" t="str">
            <v>VIA G. MEDICI, 50</v>
          </cell>
          <cell r="F1022">
            <v>10143</v>
          </cell>
          <cell r="G1022" t="str">
            <v>TORINO</v>
          </cell>
          <cell r="H1022" t="str">
            <v>TO</v>
          </cell>
          <cell r="I1022" t="str">
            <v>ITALIA</v>
          </cell>
          <cell r="J1022" t="str">
            <v>338-2770082</v>
          </cell>
        </row>
        <row r="1023">
          <cell r="B1023">
            <v>6399</v>
          </cell>
          <cell r="C1023" t="str">
            <v>FALETTO ANTONIO</v>
          </cell>
          <cell r="D1023" t="str">
            <v>03813820010 FLTNTN48L24H344H</v>
          </cell>
          <cell r="E1023" t="str">
            <v>VIA S. FRANCESCO AL  CAMPO, 11</v>
          </cell>
          <cell r="F1023">
            <v>10040</v>
          </cell>
          <cell r="G1023" t="str">
            <v>RIVAROSSA</v>
          </cell>
          <cell r="H1023" t="str">
            <v>TO</v>
          </cell>
          <cell r="I1023" t="str">
            <v>ITALIA</v>
          </cell>
          <cell r="J1023" t="str">
            <v>011-9888632</v>
          </cell>
        </row>
        <row r="1024">
          <cell r="B1024">
            <v>6870</v>
          </cell>
          <cell r="C1024" t="str">
            <v>FAM. DI BERGAMO IST. DELLE FIGLIE DI CARITA'</v>
          </cell>
          <cell r="D1024" t="str">
            <v>00661370163</v>
          </cell>
          <cell r="E1024" t="str">
            <v>PIAZZA MARCONI, 1</v>
          </cell>
          <cell r="F1024">
            <v>24030</v>
          </cell>
          <cell r="G1024" t="str">
            <v>CAPRINO  BERGAMASCO</v>
          </cell>
          <cell r="H1024" t="str">
            <v>BG</v>
          </cell>
          <cell r="I1024" t="str">
            <v>ITALIA</v>
          </cell>
          <cell r="J1024" t="str">
            <v>035-781017</v>
          </cell>
        </row>
        <row r="1025">
          <cell r="B1025">
            <v>7460</v>
          </cell>
          <cell r="C1025" t="str">
            <v>FANTINI MONICA</v>
          </cell>
          <cell r="D1025" t="str">
            <v>FNTMNC64R68G535 F</v>
          </cell>
          <cell r="E1025" t="str">
            <v>VIA GUGLIELMO DE MEIS,  20</v>
          </cell>
          <cell r="F1025">
            <v>29121</v>
          </cell>
          <cell r="G1025" t="str">
            <v>PIACENZA</v>
          </cell>
          <cell r="H1025" t="str">
            <v>PC</v>
          </cell>
          <cell r="I1025" t="str">
            <v>ITALIA</v>
          </cell>
          <cell r="J1025" t="str">
            <v>320-4007874</v>
          </cell>
        </row>
        <row r="1026">
          <cell r="B1026">
            <v>3987</v>
          </cell>
          <cell r="C1026" t="str">
            <v>FAPSERVICE DI  SILVIA DANIELE</v>
          </cell>
          <cell r="D1026" t="str">
            <v>02033930997</v>
          </cell>
          <cell r="E1026" t="str">
            <v>VIA DEVOTO, 93/18</v>
          </cell>
          <cell r="F1026">
            <v>16043</v>
          </cell>
          <cell r="G1026" t="str">
            <v>CHIAVARI</v>
          </cell>
          <cell r="H1026" t="str">
            <v>GE</v>
          </cell>
          <cell r="I1026" t="str">
            <v>ITALIA</v>
          </cell>
          <cell r="J1026" t="str">
            <v>339-3549120</v>
          </cell>
        </row>
        <row r="1027">
          <cell r="B1027">
            <v>4790</v>
          </cell>
          <cell r="C1027" t="str">
            <v>FARMACIA  ASSAROTTI</v>
          </cell>
          <cell r="D1027" t="str">
            <v>02454980109 LNCDLE51M18D969 G</v>
          </cell>
          <cell r="E1027" t="str">
            <v>VIA PESCHIERA, 3/R</v>
          </cell>
          <cell r="F1027">
            <v>16122</v>
          </cell>
          <cell r="G1027" t="str">
            <v>GENOVA</v>
          </cell>
          <cell r="H1027" t="str">
            <v>GE</v>
          </cell>
          <cell r="I1027" t="str">
            <v>ITALIA</v>
          </cell>
          <cell r="J1027" t="str">
            <v>010-8392831</v>
          </cell>
        </row>
        <row r="1028">
          <cell r="B1028">
            <v>4747</v>
          </cell>
          <cell r="C1028" t="str">
            <v>FARMACIA  FERRANDO Dr  PAGNINI MARCO</v>
          </cell>
          <cell r="D1028" t="str">
            <v>01131130070 PGNMRC68D25A326 Q</v>
          </cell>
          <cell r="E1028" t="str">
            <v>VIA E. CHANOUX, 34</v>
          </cell>
          <cell r="F1028">
            <v>11024</v>
          </cell>
          <cell r="G1028" t="str">
            <v>CHATILLON</v>
          </cell>
          <cell r="H1028" t="str">
            <v>AO</v>
          </cell>
          <cell r="I1028" t="str">
            <v>ITALIA</v>
          </cell>
          <cell r="J1028" t="str">
            <v>0166-61374</v>
          </cell>
        </row>
        <row r="1029">
          <cell r="B1029">
            <v>4737</v>
          </cell>
          <cell r="C1029" t="str">
            <v>FARMACIA CALLERI  DOTT. IAVELLI  PAOLO</v>
          </cell>
          <cell r="D1029" t="str">
            <v>05206130014 VLLPLA54L07H890O</v>
          </cell>
          <cell r="E1029" t="str">
            <v>VIA CARLO VIGNA, 11</v>
          </cell>
          <cell r="F1029">
            <v>10090</v>
          </cell>
          <cell r="G1029" t="str">
            <v>SAN GIORGIO  CANAVESE</v>
          </cell>
          <cell r="H1029" t="str">
            <v>TO</v>
          </cell>
          <cell r="I1029" t="str">
            <v>ITALIA</v>
          </cell>
          <cell r="J1029" t="str">
            <v>0124-32103</v>
          </cell>
        </row>
        <row r="1030">
          <cell r="B1030">
            <v>4849</v>
          </cell>
          <cell r="C1030" t="str">
            <v>FARMACIA DENINA  DI DENINA DR.  GIUSEPPE</v>
          </cell>
          <cell r="D1030" t="str">
            <v>00777540048 DNNGPP50S01L974 H</v>
          </cell>
          <cell r="E1030" t="str">
            <v>VIA IV NOVEMBRE, 34</v>
          </cell>
          <cell r="F1030">
            <v>12083</v>
          </cell>
          <cell r="G1030" t="str">
            <v>FRABOSA  SOTTANA</v>
          </cell>
          <cell r="H1030" t="str">
            <v>CN</v>
          </cell>
          <cell r="I1030" t="str">
            <v>ITALIA</v>
          </cell>
          <cell r="J1030" t="str">
            <v>0174-244421</v>
          </cell>
        </row>
        <row r="1031">
          <cell r="B1031">
            <v>4398</v>
          </cell>
          <cell r="C1031" t="str">
            <v>FARMACIA INTERNAZIONALE S.N.C.</v>
          </cell>
          <cell r="D1031" t="str">
            <v>03222830048 03222830048</v>
          </cell>
          <cell r="E1031" t="str">
            <v>CORSO LANGHE, 8/D</v>
          </cell>
          <cell r="F1031">
            <v>12051</v>
          </cell>
          <cell r="G1031" t="str">
            <v>ALBA</v>
          </cell>
          <cell r="H1031" t="str">
            <v>CN</v>
          </cell>
          <cell r="I1031" t="str">
            <v>ITALIA</v>
          </cell>
          <cell r="J1031" t="str">
            <v>0173-440370</v>
          </cell>
        </row>
        <row r="1032">
          <cell r="B1032">
            <v>4618</v>
          </cell>
          <cell r="C1032" t="str">
            <v>FARMACIA S.  ANTONIO</v>
          </cell>
          <cell r="D1032" t="str">
            <v>01097590093 01097590093</v>
          </cell>
          <cell r="E1032" t="str">
            <v>VIA ROMA, 45</v>
          </cell>
          <cell r="F1032">
            <v>17017</v>
          </cell>
          <cell r="G1032" t="str">
            <v>ROCCAVIGNALE</v>
          </cell>
          <cell r="H1032" t="str">
            <v>SV</v>
          </cell>
          <cell r="I1032" t="str">
            <v>ITALIA</v>
          </cell>
          <cell r="J1032" t="str">
            <v>019-565955</v>
          </cell>
        </row>
        <row r="1033">
          <cell r="B1033">
            <v>4827</v>
          </cell>
          <cell r="C1033" t="str">
            <v>FARMACIA SAN  PIETRO</v>
          </cell>
          <cell r="D1033" t="str">
            <v>03400380048 CMNCCL80S69I470 I</v>
          </cell>
          <cell r="E1033" t="str">
            <v>VIA ROMA, 51</v>
          </cell>
          <cell r="F1033">
            <v>12070</v>
          </cell>
          <cell r="G1033" t="str">
            <v>SALE DELLE  LANGHE</v>
          </cell>
          <cell r="H1033" t="str">
            <v>CN</v>
          </cell>
          <cell r="I1033" t="str">
            <v>ITALIA</v>
          </cell>
          <cell r="J1033" t="str">
            <v>0174-75259</v>
          </cell>
        </row>
        <row r="1034">
          <cell r="B1034">
            <v>4306</v>
          </cell>
          <cell r="C1034" t="str">
            <v>FARMACONSULT S.R. L.</v>
          </cell>
          <cell r="D1034" t="str">
            <v>05606860012 05606860012</v>
          </cell>
          <cell r="E1034" t="str">
            <v>VIA TORINO, 272</v>
          </cell>
          <cell r="F1034">
            <v>10099</v>
          </cell>
          <cell r="G1034" t="str">
            <v>SAN MAURO  TORINESE</v>
          </cell>
          <cell r="H1034" t="str">
            <v>TO</v>
          </cell>
          <cell r="I1034" t="str">
            <v>ITALIA</v>
          </cell>
          <cell r="J1034" t="str">
            <v>011-8220260</v>
          </cell>
        </row>
        <row r="1035">
          <cell r="B1035">
            <v>9980</v>
          </cell>
          <cell r="C1035" t="str">
            <v>FAS INTERNATIONAL SRL</v>
          </cell>
          <cell r="D1035">
            <v>2081960243</v>
          </cell>
          <cell r="E1035" t="str">
            <v>VIA LAGO DI VICO, 60</v>
          </cell>
          <cell r="F1035">
            <v>36015</v>
          </cell>
          <cell r="G1035" t="str">
            <v>SCHIO</v>
          </cell>
          <cell r="H1035" t="str">
            <v>VI</v>
          </cell>
          <cell r="I1035" t="str">
            <v>ITALIA</v>
          </cell>
          <cell r="J1035" t="str">
            <v>0445-502011</v>
          </cell>
        </row>
        <row r="1036">
          <cell r="B1036">
            <v>7502</v>
          </cell>
          <cell r="C1036" t="str">
            <v>FASOLI MAURIZIO</v>
          </cell>
          <cell r="D1036" t="str">
            <v>FSLMRZ67D10C632 G</v>
          </cell>
          <cell r="E1036" t="str">
            <v>STRADA QUINGENTI 44</v>
          </cell>
          <cell r="F1036">
            <v>43123</v>
          </cell>
          <cell r="G1036" t="str">
            <v>PARMA</v>
          </cell>
          <cell r="H1036" t="str">
            <v>PR</v>
          </cell>
          <cell r="I1036" t="str">
            <v>ITALIA</v>
          </cell>
          <cell r="J1036" t="str">
            <v>346-6617405</v>
          </cell>
        </row>
        <row r="1037">
          <cell r="B1037">
            <v>4313</v>
          </cell>
          <cell r="C1037" t="str">
            <v>FAST COFFEE DI  LUCIANO DI MARIO</v>
          </cell>
          <cell r="D1037" t="str">
            <v>01745830594 DMRLCN69C13H501 J</v>
          </cell>
          <cell r="E1037" t="str">
            <v>VIA SALVATORE DI  GIACOMO, 52</v>
          </cell>
          <cell r="F1037">
            <v>4011</v>
          </cell>
          <cell r="G1037" t="str">
            <v>APRILIA</v>
          </cell>
          <cell r="H1037" t="str">
            <v>LT</v>
          </cell>
          <cell r="I1037" t="str">
            <v>ITALIA</v>
          </cell>
          <cell r="J1037" t="str">
            <v>06-9276855</v>
          </cell>
        </row>
        <row r="1038">
          <cell r="B1038">
            <v>4331</v>
          </cell>
          <cell r="C1038" t="str">
            <v>FE.GI. INGROSS S.R. L.</v>
          </cell>
          <cell r="D1038" t="str">
            <v>11612661006 11612661006</v>
          </cell>
          <cell r="E1038" t="str">
            <v>VIA BELMONTE DEL  SANNIO, 14/16</v>
          </cell>
          <cell r="F1038">
            <v>131</v>
          </cell>
          <cell r="G1038" t="str">
            <v>ROMA</v>
          </cell>
          <cell r="H1038" t="str">
            <v>RM</v>
          </cell>
          <cell r="I1038" t="str">
            <v>ITALIA</v>
          </cell>
          <cell r="J1038" t="str">
            <v>333-7531725</v>
          </cell>
        </row>
        <row r="1039">
          <cell r="B1039">
            <v>6551</v>
          </cell>
          <cell r="C1039" t="str">
            <v>FEDAN SCARL</v>
          </cell>
          <cell r="D1039" t="str">
            <v>09968960964 09968960964</v>
          </cell>
          <cell r="E1039" t="str">
            <v>VIA G. MAZZINI, 3/C</v>
          </cell>
          <cell r="F1039">
            <v>20063</v>
          </cell>
          <cell r="G1039" t="str">
            <v>CERNUSCO SUL  NAVIGLIO</v>
          </cell>
          <cell r="H1039" t="str">
            <v>MI</v>
          </cell>
          <cell r="I1039" t="str">
            <v>ITALIA</v>
          </cell>
          <cell r="J1039" t="str">
            <v>0331-494191</v>
          </cell>
        </row>
        <row r="1040">
          <cell r="B1040">
            <v>7113</v>
          </cell>
          <cell r="C1040" t="str">
            <v>FEDELI FABIO</v>
          </cell>
          <cell r="D1040" t="str">
            <v>FDLFBA61B14G752 G</v>
          </cell>
          <cell r="E1040" t="str">
            <v>LOCALITÀ MONTEMORLI,  6/D</v>
          </cell>
          <cell r="F1040">
            <v>53036</v>
          </cell>
          <cell r="G1040" t="str">
            <v>POGGIBONSI</v>
          </cell>
          <cell r="H1040" t="str">
            <v>SI</v>
          </cell>
          <cell r="I1040" t="str">
            <v>ITALIA</v>
          </cell>
          <cell r="J1040" t="str">
            <v>335-6047093</v>
          </cell>
        </row>
        <row r="1041">
          <cell r="B1041">
            <v>4319</v>
          </cell>
          <cell r="C1041" t="str">
            <v>FENOMA S.N.C.  DI  OMARI MUHAMMAD  E OMARI BILAL</v>
          </cell>
          <cell r="D1041" t="str">
            <v>06783580969 06783580969</v>
          </cell>
          <cell r="E1041" t="str">
            <v>VIA S. BOTTICELLI, 2</v>
          </cell>
          <cell r="F1041">
            <v>20133</v>
          </cell>
          <cell r="G1041" t="str">
            <v>MILANO</v>
          </cell>
          <cell r="H1041" t="str">
            <v>MI</v>
          </cell>
          <cell r="I1041" t="str">
            <v>ITALIA</v>
          </cell>
          <cell r="J1041" t="str">
            <v>339-8224746</v>
          </cell>
        </row>
        <row r="1042">
          <cell r="B1042">
            <v>5523</v>
          </cell>
          <cell r="C1042" t="str">
            <v>FEPA S.A.S. DI  PAGANINI  FERDINANDO &amp; C.</v>
          </cell>
          <cell r="D1042" t="str">
            <v>08609770014 08609770014</v>
          </cell>
          <cell r="E1042" t="str">
            <v>VIA BENETTI, 60 INT. A</v>
          </cell>
          <cell r="F1042">
            <v>10051</v>
          </cell>
          <cell r="G1042" t="str">
            <v>AVIGLIANA</v>
          </cell>
          <cell r="H1042" t="str">
            <v>TO</v>
          </cell>
          <cell r="I1042" t="str">
            <v>ITALIA</v>
          </cell>
          <cell r="J1042" t="str">
            <v>339-6619933</v>
          </cell>
        </row>
        <row r="1043">
          <cell r="B1043">
            <v>3847</v>
          </cell>
          <cell r="C1043" t="str">
            <v>FERAN DI FERRARIO  ANGELO</v>
          </cell>
          <cell r="D1043" t="str">
            <v>06798690159 FRRNGL43A19F205F</v>
          </cell>
          <cell r="E1043" t="str">
            <v>VIA G.B.GRASSI, 3</v>
          </cell>
          <cell r="F1043">
            <v>20157</v>
          </cell>
          <cell r="G1043" t="str">
            <v>MILANO</v>
          </cell>
          <cell r="H1043" t="str">
            <v>MI</v>
          </cell>
          <cell r="I1043" t="str">
            <v>ITALIA</v>
          </cell>
          <cell r="J1043" t="str">
            <v>335-5846090</v>
          </cell>
        </row>
        <row r="1044">
          <cell r="B1044">
            <v>7302</v>
          </cell>
          <cell r="C1044" t="str">
            <v>FERRAMENTA  LUCCHESE SNC</v>
          </cell>
          <cell r="D1044" t="str">
            <v>01034790939</v>
          </cell>
          <cell r="E1044" t="str">
            <v>PIAZZA IV NOVEMBRE, 13</v>
          </cell>
          <cell r="F1044">
            <v>33077</v>
          </cell>
          <cell r="G1044" t="str">
            <v>SACILE</v>
          </cell>
          <cell r="H1044" t="str">
            <v>PN</v>
          </cell>
          <cell r="I1044" t="str">
            <v>ITALIA</v>
          </cell>
          <cell r="J1044" t="str">
            <v>351-2596985</v>
          </cell>
        </row>
        <row r="1045">
          <cell r="B1045">
            <v>7212</v>
          </cell>
          <cell r="C1045" t="str">
            <v>FERRARI  FRANCESCO</v>
          </cell>
          <cell r="D1045" t="str">
            <v>FRRFNC54T17D969J</v>
          </cell>
          <cell r="E1045" t="str">
            <v>VIA PRA', 158FR</v>
          </cell>
          <cell r="F1045">
            <v>16157</v>
          </cell>
          <cell r="G1045" t="str">
            <v>GENOVA</v>
          </cell>
          <cell r="H1045" t="str">
            <v>GE</v>
          </cell>
          <cell r="I1045" t="str">
            <v>ITALIA</v>
          </cell>
          <cell r="J1045" t="str">
            <v>335-6539787</v>
          </cell>
        </row>
        <row r="1046">
          <cell r="B1046">
            <v>7011</v>
          </cell>
          <cell r="C1046" t="str">
            <v>FERRARI TAMARA</v>
          </cell>
          <cell r="D1046" t="str">
            <v>FRRTMR85T50H330 Y</v>
          </cell>
          <cell r="E1046" t="str">
            <v>VIA BRUNETTO LATINI, 93</v>
          </cell>
          <cell r="F1046">
            <v>50133</v>
          </cell>
          <cell r="G1046" t="str">
            <v>FIRENZE</v>
          </cell>
          <cell r="H1046" t="str">
            <v>FI</v>
          </cell>
          <cell r="I1046" t="str">
            <v>ITALIA</v>
          </cell>
          <cell r="J1046" t="str">
            <v>347-5209205</v>
          </cell>
        </row>
        <row r="1047">
          <cell r="B1047">
            <v>7488</v>
          </cell>
          <cell r="C1047" t="str">
            <v>FERRARI THOMAS</v>
          </cell>
          <cell r="D1047" t="str">
            <v>FRRTMS93D21D332 O</v>
          </cell>
          <cell r="E1047" t="str">
            <v>VIA CIOLINA GIOVANNI  BATTISTA PITTORE 22</v>
          </cell>
          <cell r="F1047">
            <v>28858</v>
          </cell>
          <cell r="G1047" t="str">
            <v>TOCENO</v>
          </cell>
          <cell r="H1047" t="str">
            <v>VB</v>
          </cell>
          <cell r="I1047" t="str">
            <v>ITALIA</v>
          </cell>
          <cell r="J1047" t="str">
            <v>347-9221117</v>
          </cell>
        </row>
        <row r="1048">
          <cell r="B1048">
            <v>4794</v>
          </cell>
          <cell r="C1048" t="str">
            <v>FERRARIO NAUTICA</v>
          </cell>
          <cell r="D1048" t="str">
            <v>02316120035 02316120035</v>
          </cell>
          <cell r="E1048" t="str">
            <v>VIA CESARE BATTISTI, 17</v>
          </cell>
          <cell r="F1048">
            <v>28040</v>
          </cell>
          <cell r="G1048" t="str">
            <v>DORMELLETTO</v>
          </cell>
          <cell r="H1048" t="str">
            <v>NO</v>
          </cell>
          <cell r="I1048" t="str">
            <v>ITALIA</v>
          </cell>
          <cell r="J1048" t="str">
            <v>393-3355884</v>
          </cell>
        </row>
        <row r="1049">
          <cell r="B1049">
            <v>7315</v>
          </cell>
          <cell r="C1049" t="str">
            <v>FERRARO ANTONINO</v>
          </cell>
          <cell r="D1049" t="str">
            <v>FRRNNN57H09C568 A</v>
          </cell>
          <cell r="E1049" t="str">
            <v>VIA DI SANTA BARBARA  STRADELLO A 9/D</v>
          </cell>
          <cell r="F1049">
            <v>34015</v>
          </cell>
          <cell r="G1049" t="str">
            <v>MUGGIA</v>
          </cell>
          <cell r="H1049" t="str">
            <v>TS</v>
          </cell>
          <cell r="I1049" t="str">
            <v>ITALIA</v>
          </cell>
          <cell r="J1049" t="str">
            <v>340-4665278</v>
          </cell>
        </row>
        <row r="1050">
          <cell r="B1050">
            <v>2733</v>
          </cell>
          <cell r="C1050" t="str">
            <v>FERRAROTTI FLAVIO</v>
          </cell>
          <cell r="D1050" t="str">
            <v>FRRFLV66L14A182M</v>
          </cell>
          <cell r="E1050" t="str">
            <v>VIA MARENGO, 106</v>
          </cell>
          <cell r="F1050">
            <v>15100</v>
          </cell>
          <cell r="G1050" t="str">
            <v>ALESSANDRIA</v>
          </cell>
          <cell r="H1050" t="str">
            <v>AL</v>
          </cell>
          <cell r="I1050" t="str">
            <v>ITALIA</v>
          </cell>
        </row>
        <row r="1051">
          <cell r="B1051">
            <v>7002</v>
          </cell>
          <cell r="C1051" t="str">
            <v>FERRETTI GIOVANNI</v>
          </cell>
          <cell r="D1051" t="str">
            <v>FRRGNN61L19H096 V</v>
          </cell>
          <cell r="E1051" t="str">
            <v>VIA COLLI STORICI, 165</v>
          </cell>
          <cell r="F1051">
            <v>25015</v>
          </cell>
          <cell r="G1051" t="str">
            <v>SAN MARTINO  DELLA  BATTAGLIA</v>
          </cell>
          <cell r="H1051" t="str">
            <v>BS</v>
          </cell>
          <cell r="I1051" t="str">
            <v>ITALIA</v>
          </cell>
          <cell r="J1051" t="str">
            <v>392-3438844</v>
          </cell>
        </row>
        <row r="1052">
          <cell r="B1052">
            <v>6718</v>
          </cell>
          <cell r="C1052" t="str">
            <v>FERRI DANIELE</v>
          </cell>
          <cell r="D1052" t="str">
            <v>10840210016</v>
          </cell>
          <cell r="E1052" t="str">
            <v>VIA MASSENA, 28</v>
          </cell>
          <cell r="F1052">
            <v>10128</v>
          </cell>
          <cell r="G1052" t="str">
            <v>TORINO</v>
          </cell>
          <cell r="H1052" t="str">
            <v>TO</v>
          </cell>
          <cell r="I1052" t="str">
            <v>ITALIA</v>
          </cell>
          <cell r="J1052" t="str">
            <v>340-3433060</v>
          </cell>
        </row>
        <row r="1053">
          <cell r="B1053">
            <v>7198</v>
          </cell>
          <cell r="C1053" t="str">
            <v>FERRI FABIO</v>
          </cell>
          <cell r="D1053" t="str">
            <v>FRRFBA57C16C770 H</v>
          </cell>
          <cell r="E1053" t="str">
            <v>VIA VALLEGGIO, 11</v>
          </cell>
          <cell r="F1053">
            <v>22100</v>
          </cell>
          <cell r="G1053" t="str">
            <v>COMO</v>
          </cell>
          <cell r="H1053" t="str">
            <v>CO</v>
          </cell>
          <cell r="I1053" t="str">
            <v>ITALIA</v>
          </cell>
          <cell r="J1053" t="str">
            <v>347-0892786</v>
          </cell>
        </row>
        <row r="1054">
          <cell r="B1054">
            <v>7425</v>
          </cell>
          <cell r="C1054" t="str">
            <v>FERRINI ISABELLA</v>
          </cell>
          <cell r="D1054" t="str">
            <v>FRRSLL36M48F715F</v>
          </cell>
          <cell r="E1054" t="str">
            <v>VIA GIUSEPPE FASCE, 3/4</v>
          </cell>
          <cell r="F1054">
            <v>16145</v>
          </cell>
          <cell r="G1054" t="str">
            <v>GENOVA</v>
          </cell>
          <cell r="H1054" t="str">
            <v>GE</v>
          </cell>
          <cell r="I1054" t="str">
            <v>ITALIA</v>
          </cell>
          <cell r="J1054" t="str">
            <v>335-7599518</v>
          </cell>
        </row>
        <row r="1055">
          <cell r="B1055">
            <v>3327</v>
          </cell>
          <cell r="C1055" t="str">
            <v>FERRUA ANDREA -  FREE SHOP</v>
          </cell>
          <cell r="D1055" t="str">
            <v>09708200010 FRRNDR73S09L219 K</v>
          </cell>
          <cell r="E1055" t="str">
            <v>VIA NICOLA FABRIZI, 6</v>
          </cell>
          <cell r="F1055">
            <v>10145</v>
          </cell>
          <cell r="G1055" t="str">
            <v>TORINO</v>
          </cell>
          <cell r="H1055" t="str">
            <v>TO</v>
          </cell>
          <cell r="I1055" t="str">
            <v>ITALIA</v>
          </cell>
          <cell r="J1055" t="str">
            <v>011-2260476</v>
          </cell>
        </row>
        <row r="1056">
          <cell r="B1056">
            <v>3700</v>
          </cell>
          <cell r="C1056" t="str">
            <v>FF24 DI FANTON  FEDERICA S.A.S.</v>
          </cell>
          <cell r="D1056" t="str">
            <v>02311690024 02311690024</v>
          </cell>
          <cell r="E1056" t="str">
            <v>VIA BOGLIETTI, 1</v>
          </cell>
          <cell r="F1056">
            <v>13900</v>
          </cell>
          <cell r="G1056" t="str">
            <v>BIELLA</v>
          </cell>
          <cell r="H1056" t="str">
            <v>BI</v>
          </cell>
          <cell r="I1056" t="str">
            <v>ITALIA</v>
          </cell>
          <cell r="J1056" t="str">
            <v>015-592016</v>
          </cell>
        </row>
        <row r="1057">
          <cell r="B1057">
            <v>2410</v>
          </cell>
          <cell r="C1057" t="str">
            <v>FILCO VENDING  S.R.L.</v>
          </cell>
          <cell r="D1057" t="str">
            <v>01569340423 01569340423</v>
          </cell>
          <cell r="E1057" t="str">
            <v>VIA G. UMANI, 13</v>
          </cell>
          <cell r="F1057">
            <v>60131</v>
          </cell>
          <cell r="G1057" t="str">
            <v>ANCONA</v>
          </cell>
          <cell r="H1057" t="str">
            <v>AN</v>
          </cell>
          <cell r="I1057" t="str">
            <v>ITALIA</v>
          </cell>
          <cell r="J1057" t="str">
            <v>071-2868546</v>
          </cell>
        </row>
        <row r="1058">
          <cell r="B1058">
            <v>6963</v>
          </cell>
          <cell r="C1058" t="str">
            <v>FILIPPO  MARIANGELA</v>
          </cell>
          <cell r="D1058" t="str">
            <v>FLPMNG69P44B201 H</v>
          </cell>
          <cell r="E1058" t="str">
            <v>VIA ANDREA COSTA, 12</v>
          </cell>
          <cell r="F1058">
            <v>27040</v>
          </cell>
          <cell r="G1058" t="str">
            <v>PORTALBERA</v>
          </cell>
          <cell r="H1058" t="str">
            <v>PV</v>
          </cell>
          <cell r="I1058" t="str">
            <v>ITALIA</v>
          </cell>
          <cell r="J1058" t="str">
            <v>338-8728040</v>
          </cell>
        </row>
        <row r="1059">
          <cell r="B1059">
            <v>4376</v>
          </cell>
          <cell r="C1059" t="str">
            <v>FILO CATANA  COSTRUZIONI S.R.L.</v>
          </cell>
          <cell r="D1059" t="str">
            <v>07853580962 07853580962</v>
          </cell>
          <cell r="E1059" t="str">
            <v>VIA A. MEUCCI,  8</v>
          </cell>
          <cell r="F1059">
            <v>20128</v>
          </cell>
          <cell r="G1059" t="str">
            <v>MILANO</v>
          </cell>
          <cell r="H1059" t="str">
            <v>MI</v>
          </cell>
          <cell r="I1059" t="str">
            <v>ITALIA</v>
          </cell>
          <cell r="J1059" t="str">
            <v>039-5972585</v>
          </cell>
        </row>
        <row r="1060">
          <cell r="B1060">
            <v>4293</v>
          </cell>
          <cell r="C1060" t="str">
            <v>FINAM S.R.L.</v>
          </cell>
          <cell r="D1060" t="str">
            <v>01195820129 01195820129</v>
          </cell>
          <cell r="E1060" t="str">
            <v>VIA A. DE GASPERI, 93/A</v>
          </cell>
          <cell r="F1060">
            <v>21057</v>
          </cell>
          <cell r="G1060" t="str">
            <v>OLGIATE OLONA</v>
          </cell>
          <cell r="H1060" t="str">
            <v>VA</v>
          </cell>
          <cell r="I1060" t="str">
            <v>ITALIA</v>
          </cell>
        </row>
        <row r="1061">
          <cell r="B1061">
            <v>3996</v>
          </cell>
          <cell r="C1061" t="str">
            <v>FINCANTIERI</v>
          </cell>
          <cell r="E1061" t="str">
            <v>VIA GIACOMO SOLIMAN, 10</v>
          </cell>
          <cell r="F1061">
            <v>16154</v>
          </cell>
          <cell r="G1061" t="str">
            <v>GENOVA</v>
          </cell>
          <cell r="H1061" t="str">
            <v>GE</v>
          </cell>
          <cell r="I1061" t="str">
            <v>ITALIA</v>
          </cell>
        </row>
        <row r="1062">
          <cell r="B1062">
            <v>4488</v>
          </cell>
          <cell r="C1062" t="str">
            <v>FINOTTI ANDREA</v>
          </cell>
          <cell r="D1062" t="str">
            <v>FNTNDR83R20A859 Z</v>
          </cell>
          <cell r="E1062" t="str">
            <v>FRAZ. ORO, 54</v>
          </cell>
          <cell r="F1062">
            <v>13835</v>
          </cell>
          <cell r="G1062" t="str">
            <v>TRIVERO</v>
          </cell>
          <cell r="H1062" t="str">
            <v>BI</v>
          </cell>
          <cell r="I1062" t="str">
            <v>ITALIA</v>
          </cell>
          <cell r="J1062" t="str">
            <v>345-4171768</v>
          </cell>
        </row>
        <row r="1063">
          <cell r="B1063">
            <v>4354</v>
          </cell>
          <cell r="C1063" t="str">
            <v>FIORETTI ANGELO</v>
          </cell>
          <cell r="D1063" t="str">
            <v>08125730963 FRTNGL57B22C603 E</v>
          </cell>
          <cell r="E1063" t="str">
            <v>VIALE AFORI, 10</v>
          </cell>
          <cell r="F1063">
            <v>20161</v>
          </cell>
          <cell r="G1063" t="str">
            <v>MILANO</v>
          </cell>
          <cell r="H1063" t="str">
            <v>MI</v>
          </cell>
          <cell r="I1063" t="str">
            <v>ITALIA</v>
          </cell>
          <cell r="J1063" t="str">
            <v>328-2622351</v>
          </cell>
        </row>
        <row r="1064">
          <cell r="B1064">
            <v>6478</v>
          </cell>
          <cell r="C1064" t="str">
            <v>FIORIN GABRIELE</v>
          </cell>
          <cell r="D1064" t="str">
            <v>FRNGRL79E28G224 X</v>
          </cell>
          <cell r="E1064" t="str">
            <v>VIA SANDRO BOTTICELLI,  9</v>
          </cell>
          <cell r="F1064">
            <v>35020</v>
          </cell>
          <cell r="G1064" t="str">
            <v>PONTE SAN  NICOLO'</v>
          </cell>
          <cell r="H1064" t="str">
            <v>PD</v>
          </cell>
          <cell r="I1064" t="str">
            <v>ITALIA</v>
          </cell>
          <cell r="J1064" t="str">
            <v>349-7442674</v>
          </cell>
        </row>
        <row r="1065">
          <cell r="B1065">
            <v>4397</v>
          </cell>
          <cell r="C1065" t="str">
            <v>FIRST RETAILING  SPA SOCIO UNICO</v>
          </cell>
          <cell r="D1065" t="str">
            <v>02135850341 02135850341</v>
          </cell>
          <cell r="E1065" t="str">
            <v>VIA MANTOVA, 166</v>
          </cell>
          <cell r="F1065">
            <v>43122</v>
          </cell>
          <cell r="G1065" t="str">
            <v>PARMA</v>
          </cell>
          <cell r="H1065" t="str">
            <v>PR</v>
          </cell>
          <cell r="I1065" t="str">
            <v>ITALIA</v>
          </cell>
          <cell r="J1065" t="str">
            <v>0521-2621</v>
          </cell>
        </row>
        <row r="1066">
          <cell r="B1066">
            <v>6974</v>
          </cell>
          <cell r="C1066" t="str">
            <v>FITNESS  MILLENIU2M ASD</v>
          </cell>
          <cell r="D1066" t="str">
            <v>92523080015</v>
          </cell>
          <cell r="E1066" t="str">
            <v>VIA BRANDIZZO, 172/A</v>
          </cell>
          <cell r="F1066">
            <v>10088</v>
          </cell>
          <cell r="G1066" t="str">
            <v>VOLPIANO</v>
          </cell>
          <cell r="H1066" t="str">
            <v>TO</v>
          </cell>
          <cell r="I1066" t="str">
            <v>ITALIA</v>
          </cell>
          <cell r="J1066" t="str">
            <v>011-9953944</v>
          </cell>
        </row>
        <row r="1067">
          <cell r="B1067">
            <v>2929</v>
          </cell>
          <cell r="C1067" t="str">
            <v>FITNESS CLUB A.S. D.</v>
          </cell>
          <cell r="D1067" t="str">
            <v>02250260029</v>
          </cell>
          <cell r="E1067" t="str">
            <v>VIA BRUNO BUOZZI, 16</v>
          </cell>
          <cell r="F1067">
            <v>13051</v>
          </cell>
          <cell r="G1067" t="str">
            <v>PONDERANO</v>
          </cell>
          <cell r="H1067" t="str">
            <v>BI</v>
          </cell>
          <cell r="I1067" t="str">
            <v>ITALIA</v>
          </cell>
          <cell r="J1067" t="str">
            <v>380-5152595</v>
          </cell>
        </row>
        <row r="1068">
          <cell r="B1068">
            <v>5459</v>
          </cell>
          <cell r="C1068" t="str">
            <v>FL - AR DI ARENA  ARIANNA</v>
          </cell>
          <cell r="D1068" t="str">
            <v>08476810018</v>
          </cell>
          <cell r="E1068" t="str">
            <v>CORSO PIEMONTE, 44</v>
          </cell>
          <cell r="F1068">
            <v>10078</v>
          </cell>
          <cell r="G1068" t="str">
            <v>VENARIA</v>
          </cell>
          <cell r="H1068" t="str">
            <v>TO</v>
          </cell>
          <cell r="I1068" t="str">
            <v>ITALIA</v>
          </cell>
          <cell r="J1068" t="str">
            <v>011-7390869</v>
          </cell>
        </row>
        <row r="1069">
          <cell r="B1069">
            <v>7441</v>
          </cell>
          <cell r="C1069" t="str">
            <v>FLASH&amp;GO QUICK  BREAK DI GUZZO  NICOLA</v>
          </cell>
          <cell r="D1069" t="str">
            <v>12262670016 GZZNCL91C09E445 O</v>
          </cell>
          <cell r="E1069" t="str">
            <v>VIA BATTITORE, 40</v>
          </cell>
          <cell r="F1069">
            <v>10073</v>
          </cell>
          <cell r="G1069" t="str">
            <v>CIRIE'</v>
          </cell>
          <cell r="H1069" t="str">
            <v>TO</v>
          </cell>
          <cell r="I1069" t="str">
            <v>ITALIA</v>
          </cell>
          <cell r="J1069" t="str">
            <v>339-6953926</v>
          </cell>
        </row>
        <row r="1070">
          <cell r="B1070">
            <v>4772</v>
          </cell>
          <cell r="C1070" t="str">
            <v>FLORA DI GIUSEPPE</v>
          </cell>
          <cell r="D1070" t="str">
            <v>10678710012 DGSFLR59T42Z347 T</v>
          </cell>
          <cell r="E1070" t="str">
            <v>VIA CHIESA DELLA  SALUTE, 17</v>
          </cell>
          <cell r="F1070">
            <v>10147</v>
          </cell>
          <cell r="G1070" t="str">
            <v>TORINO</v>
          </cell>
          <cell r="H1070" t="str">
            <v>TO</v>
          </cell>
          <cell r="I1070" t="str">
            <v>ITALIA</v>
          </cell>
          <cell r="J1070" t="str">
            <v xml:space="preserve">011-2639414 </v>
          </cell>
        </row>
        <row r="1071">
          <cell r="B1071">
            <v>4774</v>
          </cell>
          <cell r="C1071" t="str">
            <v>FLORENCE CAFFE' S.N.C.</v>
          </cell>
          <cell r="D1071" t="str">
            <v>06578030485 06578030485</v>
          </cell>
          <cell r="E1071" t="str">
            <v>VIA DELLA PIEVE, 51/A</v>
          </cell>
          <cell r="F1071">
            <v>50067</v>
          </cell>
          <cell r="G1071" t="str">
            <v>RIGNANO SULL'  ARNO</v>
          </cell>
          <cell r="H1071" t="str">
            <v>FI</v>
          </cell>
          <cell r="I1071" t="str">
            <v>ITALIA</v>
          </cell>
          <cell r="J1071" t="str">
            <v>347-6230779</v>
          </cell>
        </row>
        <row r="1072">
          <cell r="B1072">
            <v>7103</v>
          </cell>
          <cell r="C1072" t="str">
            <v>FLORIS ANNAMARIA</v>
          </cell>
          <cell r="D1072" t="str">
            <v>FLRNMR72R46L337I</v>
          </cell>
          <cell r="E1072" t="str">
            <v>VIA ROMA, 1</v>
          </cell>
          <cell r="F1072">
            <v>9010</v>
          </cell>
          <cell r="G1072" t="str">
            <v>TRATALIAS</v>
          </cell>
          <cell r="H1072" t="str">
            <v>SU</v>
          </cell>
          <cell r="I1072" t="str">
            <v>ITALIA</v>
          </cell>
          <cell r="J1072" t="str">
            <v>339-1253773</v>
          </cell>
        </row>
        <row r="1073">
          <cell r="B1073">
            <v>7495</v>
          </cell>
          <cell r="C1073" t="str">
            <v>FOGLIARINI  GABRIELLA</v>
          </cell>
          <cell r="D1073" t="str">
            <v>FGLGRL68L49I138A</v>
          </cell>
          <cell r="E1073" t="str">
            <v>VIA GIACOMO LEOPARDI  40</v>
          </cell>
          <cell r="F1073">
            <v>18038</v>
          </cell>
          <cell r="G1073" t="str">
            <v>SANREMO</v>
          </cell>
          <cell r="H1073" t="str">
            <v>IM</v>
          </cell>
          <cell r="I1073" t="str">
            <v>ITALIA</v>
          </cell>
          <cell r="J1073" t="str">
            <v>339-8245899</v>
          </cell>
        </row>
        <row r="1074">
          <cell r="B1074">
            <v>4595</v>
          </cell>
          <cell r="C1074" t="str">
            <v>FOLTRAN ELENA</v>
          </cell>
          <cell r="D1074" t="str">
            <v>08623520965 FLTLNE75C62F205E</v>
          </cell>
          <cell r="E1074" t="str">
            <v>VIA  SCHIAPPARELLI, 16</v>
          </cell>
          <cell r="F1074">
            <v>20813</v>
          </cell>
          <cell r="G1074" t="str">
            <v>BOVISIO  MASCIAGO</v>
          </cell>
          <cell r="H1074" t="str">
            <v>MB</v>
          </cell>
          <cell r="I1074" t="str">
            <v>ITALIA</v>
          </cell>
          <cell r="J1074" t="str">
            <v>338-4370825</v>
          </cell>
        </row>
        <row r="1075">
          <cell r="B1075">
            <v>3102</v>
          </cell>
          <cell r="C1075" t="str">
            <v>FONDAZIONE  STEFANIA ONLUS</v>
          </cell>
          <cell r="D1075" t="str">
            <v>05482120960 05482120960</v>
          </cell>
          <cell r="E1075" t="str">
            <v>VIA BUONARROTI, 13</v>
          </cell>
          <cell r="F1075">
            <v>20053</v>
          </cell>
          <cell r="G1075" t="str">
            <v>MUGGIO'</v>
          </cell>
          <cell r="H1075" t="str">
            <v>MI</v>
          </cell>
          <cell r="I1075" t="str">
            <v>ITALIA</v>
          </cell>
          <cell r="J1075" t="str">
            <v>039-792975</v>
          </cell>
        </row>
        <row r="1076">
          <cell r="B1076">
            <v>3708</v>
          </cell>
          <cell r="C1076" t="str">
            <v>FONTANA DAVIDE</v>
          </cell>
          <cell r="D1076" t="str">
            <v>06885640968 06885640968</v>
          </cell>
          <cell r="E1076" t="str">
            <v>VIA SOLFERINO, 47</v>
          </cell>
          <cell r="F1076">
            <v>20030</v>
          </cell>
          <cell r="G1076" t="str">
            <v>SEVESO</v>
          </cell>
          <cell r="H1076" t="str">
            <v>MI</v>
          </cell>
          <cell r="I1076" t="str">
            <v>ITALIA</v>
          </cell>
          <cell r="J1076" t="str">
            <v>392-4087454</v>
          </cell>
        </row>
        <row r="1077">
          <cell r="B1077">
            <v>7551</v>
          </cell>
          <cell r="C1077" t="str">
            <v>FONTECHIARA SAGL</v>
          </cell>
          <cell r="E1077" t="str">
            <v>VIA MULINO, 4</v>
          </cell>
          <cell r="F1077">
            <v>6877</v>
          </cell>
          <cell r="G1077" t="str">
            <v>COLDRERIO</v>
          </cell>
          <cell r="I1077" t="str">
            <v>SVIZZERA</v>
          </cell>
        </row>
        <row r="1078">
          <cell r="B1078">
            <v>6881</v>
          </cell>
          <cell r="C1078" t="str">
            <v>FONTEUROPA S.A.S.  DI TALPO &amp; C.</v>
          </cell>
          <cell r="D1078" t="str">
            <v>00569050016 00569050016</v>
          </cell>
          <cell r="E1078" t="str">
            <v>VIA TORINO, 69</v>
          </cell>
          <cell r="F1078">
            <v>10034</v>
          </cell>
          <cell r="G1078" t="str">
            <v>CHIVASSO</v>
          </cell>
          <cell r="H1078" t="str">
            <v>TO</v>
          </cell>
          <cell r="I1078" t="str">
            <v>ITALIA</v>
          </cell>
          <cell r="J1078" t="str">
            <v>011-9109599</v>
          </cell>
        </row>
        <row r="1079">
          <cell r="B1079">
            <v>7093</v>
          </cell>
          <cell r="C1079" t="str">
            <v>FORENZ'DINO  ZOANI S.N.C.</v>
          </cell>
          <cell r="D1079" t="str">
            <v>07513210158 07513210158</v>
          </cell>
          <cell r="E1079" t="str">
            <v>VIA XXV APRILE,4/B</v>
          </cell>
          <cell r="F1079">
            <v>20030</v>
          </cell>
          <cell r="G1079" t="str">
            <v>SENAGO</v>
          </cell>
          <cell r="H1079" t="str">
            <v>MI</v>
          </cell>
          <cell r="I1079" t="str">
            <v>ITALIA</v>
          </cell>
          <cell r="J1079" t="str">
            <v xml:space="preserve">02-9981050 </v>
          </cell>
        </row>
        <row r="1080">
          <cell r="B1080">
            <v>6796</v>
          </cell>
          <cell r="C1080" t="str">
            <v>FORMICA FABRIZIO</v>
          </cell>
          <cell r="D1080" t="str">
            <v>11525230014 FRMFRZ76H18L219 C</v>
          </cell>
          <cell r="E1080" t="str">
            <v>VIA MELANO, 14</v>
          </cell>
          <cell r="F1080">
            <v>10032</v>
          </cell>
          <cell r="G1080" t="str">
            <v>BRANDIZZO</v>
          </cell>
          <cell r="H1080" t="str">
            <v>TO</v>
          </cell>
          <cell r="I1080" t="str">
            <v>ITALIA</v>
          </cell>
          <cell r="J1080" t="str">
            <v>347-9645225</v>
          </cell>
        </row>
        <row r="1081">
          <cell r="B1081">
            <v>6515</v>
          </cell>
          <cell r="C1081" t="str">
            <v>FORMICONA S.R.L.</v>
          </cell>
          <cell r="D1081" t="str">
            <v>08011430967 08011430967</v>
          </cell>
          <cell r="E1081" t="str">
            <v>VIA PRIVATA GIOVANNI  CALVINO, 21</v>
          </cell>
          <cell r="F1081">
            <v>20154</v>
          </cell>
          <cell r="G1081" t="str">
            <v>MILANO</v>
          </cell>
          <cell r="H1081" t="str">
            <v>MI</v>
          </cell>
          <cell r="I1081" t="str">
            <v>ITALIA</v>
          </cell>
          <cell r="J1081" t="str">
            <v>344-1495604</v>
          </cell>
        </row>
        <row r="1082">
          <cell r="B1082">
            <v>4380</v>
          </cell>
          <cell r="C1082" t="str">
            <v>FOTI WILLIAMS</v>
          </cell>
          <cell r="D1082" t="str">
            <v>10927300011 FTOWLM83M10L219 F</v>
          </cell>
          <cell r="E1082" t="str">
            <v>VIA SAN MICHELE, 5</v>
          </cell>
          <cell r="F1082">
            <v>10040</v>
          </cell>
          <cell r="G1082" t="str">
            <v>VOLVERA</v>
          </cell>
          <cell r="H1082" t="str">
            <v>TO</v>
          </cell>
          <cell r="I1082" t="str">
            <v>ITALIA</v>
          </cell>
          <cell r="J1082" t="str">
            <v>349-0841195</v>
          </cell>
        </row>
        <row r="1083">
          <cell r="B1083">
            <v>6456</v>
          </cell>
          <cell r="C1083" t="str">
            <v>FR.OR. DI  FRONTERO FABIO &amp;  C. SNC</v>
          </cell>
          <cell r="D1083" t="str">
            <v>01580860086 01580860086</v>
          </cell>
          <cell r="E1083" t="str">
            <v>VIA LEVA'. 10</v>
          </cell>
          <cell r="F1083">
            <v>18018</v>
          </cell>
          <cell r="G1083" t="str">
            <v>ARMA DI TAGGIA</v>
          </cell>
          <cell r="H1083" t="str">
            <v>IM</v>
          </cell>
          <cell r="I1083" t="str">
            <v>ITALIA</v>
          </cell>
          <cell r="J1083" t="str">
            <v>339-6700817</v>
          </cell>
        </row>
        <row r="1084">
          <cell r="B1084">
            <v>7383</v>
          </cell>
          <cell r="C1084" t="str">
            <v>FRA SILVIA</v>
          </cell>
          <cell r="D1084" t="str">
            <v>FRASLV78E61G674 V</v>
          </cell>
          <cell r="E1084" t="str">
            <v>VIA VITTORIO VENETO 2</v>
          </cell>
          <cell r="F1084">
            <v>10060</v>
          </cell>
          <cell r="G1084" t="str">
            <v>PINASCA</v>
          </cell>
          <cell r="H1084" t="str">
            <v>TO</v>
          </cell>
          <cell r="I1084" t="str">
            <v>ITALIA</v>
          </cell>
          <cell r="J1084" t="str">
            <v>333-9219476</v>
          </cell>
        </row>
        <row r="1085">
          <cell r="B1085">
            <v>4932</v>
          </cell>
          <cell r="C1085" t="str">
            <v>FRALE S.A.S. DI  FRANCESCO  PELUFFO &amp; C.</v>
          </cell>
          <cell r="D1085" t="str">
            <v>01578220095 01578220095</v>
          </cell>
          <cell r="E1085" t="str">
            <v>VIA CADUTI PER LA  LIBERTA', 1</v>
          </cell>
          <cell r="F1085">
            <v>17047</v>
          </cell>
          <cell r="G1085" t="str">
            <v>VADO LIGURE</v>
          </cell>
          <cell r="H1085" t="str">
            <v>SV</v>
          </cell>
          <cell r="I1085" t="str">
            <v>ITALIA</v>
          </cell>
          <cell r="J1085" t="str">
            <v>349-7857580</v>
          </cell>
        </row>
        <row r="1086">
          <cell r="B1086">
            <v>7424</v>
          </cell>
          <cell r="C1086" t="str">
            <v>FRANCHINO MARIA</v>
          </cell>
          <cell r="D1086" t="str">
            <v>FRNMRA00C56L353 W</v>
          </cell>
          <cell r="E1086" t="str">
            <v>CORSO GIANNETTASIO 99</v>
          </cell>
          <cell r="F1086">
            <v>87973</v>
          </cell>
          <cell r="G1086" t="str">
            <v>ORIOLO</v>
          </cell>
          <cell r="H1086" t="str">
            <v>CS</v>
          </cell>
          <cell r="I1086" t="str">
            <v>ITALIA</v>
          </cell>
          <cell r="J1086" t="str">
            <v>351-8195340</v>
          </cell>
        </row>
        <row r="1087">
          <cell r="B1087">
            <v>7012</v>
          </cell>
          <cell r="C1087" t="str">
            <v>FRANCIOSO SIMONA</v>
          </cell>
          <cell r="D1087" t="str">
            <v>FRNSMN73E67B506 Y</v>
          </cell>
          <cell r="E1087" t="str">
            <v>VIA ROSSINI, 29</v>
          </cell>
          <cell r="F1087">
            <v>73100</v>
          </cell>
          <cell r="G1087" t="str">
            <v>LECCE</v>
          </cell>
          <cell r="H1087" t="str">
            <v>LE</v>
          </cell>
          <cell r="I1087" t="str">
            <v>ITALIA</v>
          </cell>
          <cell r="J1087" t="str">
            <v>329-8058189</v>
          </cell>
        </row>
        <row r="1088">
          <cell r="B1088">
            <v>3686</v>
          </cell>
          <cell r="C1088" t="str">
            <v>FRAPPIETRI  GIUSEPPE</v>
          </cell>
          <cell r="D1088" t="str">
            <v>06638750965 FRPGPP71H01F205L</v>
          </cell>
          <cell r="E1088" t="str">
            <v>PIAZZA GAFFURI, 3</v>
          </cell>
          <cell r="F1088">
            <v>20030</v>
          </cell>
          <cell r="G1088" t="str">
            <v>BOVISIO  MASCIAGO</v>
          </cell>
          <cell r="H1088" t="str">
            <v>MI</v>
          </cell>
          <cell r="I1088" t="str">
            <v>ITALIA</v>
          </cell>
          <cell r="J1088" t="str">
            <v>345-4801798</v>
          </cell>
        </row>
        <row r="1089">
          <cell r="B1089">
            <v>6970</v>
          </cell>
          <cell r="C1089" t="str">
            <v>FRASCONI MICHELE</v>
          </cell>
          <cell r="D1089" t="str">
            <v>FRSMHL69D19Z133 O</v>
          </cell>
          <cell r="E1089" t="str">
            <v>VIA FONTANELLE, 56</v>
          </cell>
          <cell r="F1089">
            <v>53026</v>
          </cell>
          <cell r="G1089" t="str">
            <v>PIENZA</v>
          </cell>
          <cell r="H1089" t="str">
            <v>SI</v>
          </cell>
          <cell r="I1089" t="str">
            <v>ITALIA</v>
          </cell>
          <cell r="J1089" t="str">
            <v>348-0284429</v>
          </cell>
        </row>
        <row r="1090">
          <cell r="B1090">
            <v>4124</v>
          </cell>
          <cell r="C1090" t="str">
            <v>FRATELLI SCHILLIG  SA</v>
          </cell>
          <cell r="D1090" t="str">
            <v>185825</v>
          </cell>
          <cell r="E1090" t="str">
            <v>ZONA INDUSTRIALE  ZANDONE</v>
          </cell>
          <cell r="F1090">
            <v>6616</v>
          </cell>
          <cell r="G1090" t="str">
            <v>LOSONE -  SVIZZERA -</v>
          </cell>
          <cell r="I1090" t="str">
            <v>SVIZZERA</v>
          </cell>
          <cell r="J1090"/>
        </row>
        <row r="1091">
          <cell r="B1091">
            <v>7447</v>
          </cell>
          <cell r="C1091" t="str">
            <v>FRATUS GIOVANNA</v>
          </cell>
          <cell r="D1091" t="str">
            <v>FRTGNN59B52E006F</v>
          </cell>
          <cell r="E1091" t="str">
            <v>VIA A. MANZONI, 4</v>
          </cell>
          <cell r="F1091">
            <v>24050</v>
          </cell>
          <cell r="G1091" t="str">
            <v>GHISALBA</v>
          </cell>
          <cell r="H1091" t="str">
            <v>BG</v>
          </cell>
          <cell r="I1091" t="str">
            <v>ITALIA</v>
          </cell>
          <cell r="J1091" t="str">
            <v>328-3323850</v>
          </cell>
        </row>
        <row r="1092">
          <cell r="B1092">
            <v>7164</v>
          </cell>
          <cell r="C1092" t="str">
            <v>FREDDI  MASSIMILIANO</v>
          </cell>
          <cell r="D1092" t="str">
            <v>FRDMSM73H23D612 N</v>
          </cell>
          <cell r="E1092" t="str">
            <v>VIA SILVIO PELLICO, 3</v>
          </cell>
          <cell r="F1092">
            <v>20090</v>
          </cell>
          <cell r="G1092" t="str">
            <v>TREZZANO SUL  NAVIGLIO</v>
          </cell>
          <cell r="H1092" t="str">
            <v>MI</v>
          </cell>
          <cell r="I1092" t="str">
            <v>ITALIA</v>
          </cell>
          <cell r="J1092" t="str">
            <v>349-3182402</v>
          </cell>
        </row>
        <row r="1093">
          <cell r="B1093">
            <v>6518</v>
          </cell>
          <cell r="C1093" t="str">
            <v>FREE SHOP S.R.L.</v>
          </cell>
          <cell r="D1093" t="str">
            <v>09618310966 09618310966</v>
          </cell>
          <cell r="E1093" t="str">
            <v>VIA GASPARE STAMPA, 9</v>
          </cell>
          <cell r="F1093">
            <v>20081</v>
          </cell>
          <cell r="G1093" t="str">
            <v>ABBIATEGRASSO</v>
          </cell>
          <cell r="H1093" t="str">
            <v>MI</v>
          </cell>
          <cell r="I1093" t="str">
            <v>ITALIA</v>
          </cell>
          <cell r="J1093" t="str">
            <v>333-1579798</v>
          </cell>
        </row>
        <row r="1094">
          <cell r="B1094">
            <v>4623</v>
          </cell>
          <cell r="C1094" t="str">
            <v>FREGONESE &amp;  BASSAN SRL</v>
          </cell>
          <cell r="D1094" t="str">
            <v>00351250022 00351250022</v>
          </cell>
          <cell r="E1094" t="str">
            <v>VIA PROVINCIALE, 327</v>
          </cell>
          <cell r="F1094">
            <v>13835</v>
          </cell>
          <cell r="G1094" t="str">
            <v>TRIVERO</v>
          </cell>
          <cell r="H1094" t="str">
            <v>BI</v>
          </cell>
          <cell r="I1094" t="str">
            <v>ITALIA</v>
          </cell>
          <cell r="J1094" t="str">
            <v>015-7388428</v>
          </cell>
        </row>
        <row r="1095">
          <cell r="B1095">
            <v>4869</v>
          </cell>
          <cell r="C1095" t="str">
            <v>FRI 70 S.R.L.</v>
          </cell>
          <cell r="D1095" t="str">
            <v>06771470967 06771470967</v>
          </cell>
          <cell r="E1095" t="str">
            <v>VIA GIOVANNI KEPLERO,  42/44</v>
          </cell>
          <cell r="F1095">
            <v>20019</v>
          </cell>
          <cell r="G1095" t="str">
            <v>SETTIMO  MILANESE</v>
          </cell>
          <cell r="H1095" t="str">
            <v>MI</v>
          </cell>
          <cell r="I1095" t="str">
            <v>ITALIA</v>
          </cell>
          <cell r="J1095" t="str">
            <v>02-3350691</v>
          </cell>
        </row>
        <row r="1096">
          <cell r="B1096">
            <v>6980</v>
          </cell>
          <cell r="C1096" t="str">
            <v>FRISENNA  FRANCESCO</v>
          </cell>
          <cell r="D1096" t="str">
            <v>FRSFNC64R17B202 V</v>
          </cell>
          <cell r="E1096" t="str">
            <v>VIA BELLINI, 90</v>
          </cell>
          <cell r="F1096">
            <v>95038</v>
          </cell>
          <cell r="G1096" t="str">
            <v>SANTA MARIA  DI LICODIA</v>
          </cell>
          <cell r="H1096" t="str">
            <v>CT</v>
          </cell>
          <cell r="I1096" t="str">
            <v>ITALIA</v>
          </cell>
          <cell r="J1096" t="str">
            <v>349-0703766</v>
          </cell>
        </row>
        <row r="1097">
          <cell r="B1097">
            <v>5217</v>
          </cell>
          <cell r="C1097" t="str">
            <v>FULGAR S.A.S.</v>
          </cell>
          <cell r="D1097" t="str">
            <v>06440060017 06440060017</v>
          </cell>
          <cell r="E1097" t="str">
            <v>VIA F.LLI GIULIANI, 7</v>
          </cell>
          <cell r="F1097">
            <v>10064</v>
          </cell>
          <cell r="G1097" t="str">
            <v>PINEROLO</v>
          </cell>
          <cell r="H1097" t="str">
            <v>TO</v>
          </cell>
          <cell r="I1097" t="str">
            <v>ITALIA</v>
          </cell>
          <cell r="J1097" t="str">
            <v xml:space="preserve">0121-321427 </v>
          </cell>
        </row>
        <row r="1098">
          <cell r="B1098">
            <v>2848</v>
          </cell>
          <cell r="C1098" t="str">
            <v>FULL SERVICE S. R.L.</v>
          </cell>
          <cell r="D1098" t="str">
            <v>02969490966 02969490966</v>
          </cell>
          <cell r="E1098" t="str">
            <v>VIA DON MINZONI, 7</v>
          </cell>
          <cell r="F1098">
            <v>20020</v>
          </cell>
          <cell r="G1098" t="str">
            <v>MISINTO</v>
          </cell>
          <cell r="H1098" t="str">
            <v>MB</v>
          </cell>
          <cell r="I1098" t="str">
            <v>ITALIA</v>
          </cell>
          <cell r="J1098" t="str">
            <v>02-96328667</v>
          </cell>
        </row>
        <row r="1099">
          <cell r="B1099">
            <v>4822</v>
          </cell>
          <cell r="C1099" t="str">
            <v>FUNARO S.N.C.</v>
          </cell>
          <cell r="D1099" t="str">
            <v>07060850018 07060850018</v>
          </cell>
          <cell r="E1099" t="str">
            <v>STAZIONE FS PORTA  NUOVA</v>
          </cell>
          <cell r="F1099">
            <v>10125</v>
          </cell>
          <cell r="G1099" t="str">
            <v>TORINO</v>
          </cell>
          <cell r="H1099" t="str">
            <v>TO</v>
          </cell>
          <cell r="I1099" t="str">
            <v>ITALIA</v>
          </cell>
          <cell r="J1099" t="str">
            <v>389-5690422</v>
          </cell>
        </row>
        <row r="1100">
          <cell r="B1100">
            <v>7935</v>
          </cell>
          <cell r="C1100" t="str">
            <v>FUORI MILANO</v>
          </cell>
          <cell r="E1100" t="str">
            <v>VIA SAN VITALE,13</v>
          </cell>
          <cell r="F1100">
            <v>20831</v>
          </cell>
          <cell r="G1100" t="str">
            <v>SEREGNO</v>
          </cell>
          <cell r="H1100" t="str">
            <v>MB</v>
          </cell>
          <cell r="I1100" t="str">
            <v>ITALIA</v>
          </cell>
          <cell r="J1100" t="str">
            <v>0362-223601</v>
          </cell>
        </row>
        <row r="1101">
          <cell r="B1101">
            <v>3317</v>
          </cell>
          <cell r="C1101" t="str">
            <v>FUTSAL SERVICES  DI FRANCO  COLASANTO</v>
          </cell>
          <cell r="D1101" t="str">
            <v>08815790012 CLSFNC68H19L219 Z</v>
          </cell>
          <cell r="E1101" t="str">
            <v>VIA DON BORIO, 19</v>
          </cell>
          <cell r="F1101">
            <v>10095</v>
          </cell>
          <cell r="G1101" t="str">
            <v>GRUGLIASCO</v>
          </cell>
          <cell r="H1101" t="str">
            <v>TO</v>
          </cell>
          <cell r="I1101" t="str">
            <v>ITALIA</v>
          </cell>
          <cell r="J1101" t="str">
            <v xml:space="preserve">011-3091272 </v>
          </cell>
        </row>
        <row r="1102">
          <cell r="B1102">
            <v>9993</v>
          </cell>
          <cell r="C1102" t="str">
            <v>FUTURE STORE C/O TRELOG S.</v>
          </cell>
          <cell r="E1102" t="str">
            <v>VIA TORRICELLI,24</v>
          </cell>
          <cell r="F1102">
            <v>31050</v>
          </cell>
          <cell r="G1102" t="str">
            <v>VILLORBA</v>
          </cell>
          <cell r="H1102" t="str">
            <v>TV</v>
          </cell>
          <cell r="I1102" t="str">
            <v>ITALIA</v>
          </cell>
          <cell r="J1102" t="str">
            <v>339-3766874</v>
          </cell>
        </row>
        <row r="1103">
          <cell r="B1103">
            <v>5975</v>
          </cell>
          <cell r="C1103" t="str">
            <v>G &amp; D  S.N.C. DI SORRIENTO G. e  C.</v>
          </cell>
          <cell r="D1103" t="str">
            <v>07463470018 07463470018</v>
          </cell>
          <cell r="E1103" t="str">
            <v>Via ROOSEVELT,6</v>
          </cell>
          <cell r="F1103">
            <v>10036</v>
          </cell>
          <cell r="G1103" t="str">
            <v>SETTIMO  TORINESE</v>
          </cell>
          <cell r="H1103" t="str">
            <v>TO</v>
          </cell>
          <cell r="I1103" t="str">
            <v>ITALIA</v>
          </cell>
          <cell r="J1103" t="str">
            <v>011-0864762</v>
          </cell>
        </row>
        <row r="1104">
          <cell r="B1104">
            <v>3981</v>
          </cell>
          <cell r="C1104" t="str">
            <v>G &amp; G S.A.S.</v>
          </cell>
          <cell r="D1104" t="str">
            <v>09632710019 09632710019</v>
          </cell>
          <cell r="E1104" t="str">
            <v>VIA GARIBALDI, 59/F</v>
          </cell>
          <cell r="F1104">
            <v>10122</v>
          </cell>
          <cell r="G1104" t="str">
            <v>TORINO</v>
          </cell>
          <cell r="H1104" t="str">
            <v>TO</v>
          </cell>
          <cell r="I1104" t="str">
            <v>ITALIA</v>
          </cell>
          <cell r="J1104" t="str">
            <v>339-3627745</v>
          </cell>
        </row>
        <row r="1105">
          <cell r="B1105">
            <v>4509</v>
          </cell>
          <cell r="C1105" t="str">
            <v>G. &amp; D. DI URBAN  GIUSEPPE  &amp; C. S.A. S.</v>
          </cell>
          <cell r="D1105" t="str">
            <v>10800090010 10800090010</v>
          </cell>
          <cell r="E1105" t="str">
            <v>VIA PASSERA, 8</v>
          </cell>
          <cell r="F1105">
            <v>10017</v>
          </cell>
          <cell r="G1105" t="str">
            <v>MONTANARO</v>
          </cell>
          <cell r="H1105" t="str">
            <v>TO</v>
          </cell>
          <cell r="I1105" t="str">
            <v>ITALIA</v>
          </cell>
          <cell r="J1105" t="str">
            <v>347-6879777</v>
          </cell>
        </row>
        <row r="1106">
          <cell r="B1106">
            <v>216</v>
          </cell>
          <cell r="C1106" t="str">
            <v>G. MARTORELLA S.A. S. DI MARTORELLA  O.</v>
          </cell>
          <cell r="D1106" t="str">
            <v>01964450124 01964450124</v>
          </cell>
          <cell r="E1106" t="str">
            <v>VIA PIAVE, 110</v>
          </cell>
          <cell r="F1106">
            <v>21057</v>
          </cell>
          <cell r="G1106" t="str">
            <v>OLGIATE OLONA</v>
          </cell>
          <cell r="H1106" t="str">
            <v>VA</v>
          </cell>
          <cell r="I1106" t="str">
            <v>ITALIA</v>
          </cell>
          <cell r="J1106" t="str">
            <v>0331-649123</v>
          </cell>
        </row>
        <row r="1107">
          <cell r="B1107">
            <v>835</v>
          </cell>
          <cell r="C1107" t="str">
            <v>G.&amp; G. PAGLINI S.P. A.</v>
          </cell>
          <cell r="D1107" t="str">
            <v>01209860129 01209860129</v>
          </cell>
          <cell r="E1107" t="str">
            <v>V.LE DON G. MINZONI, 12</v>
          </cell>
          <cell r="F1107">
            <v>21053</v>
          </cell>
          <cell r="G1107" t="str">
            <v>CASTELLANZA</v>
          </cell>
          <cell r="H1107" t="str">
            <v>VA</v>
          </cell>
          <cell r="I1107" t="str">
            <v>ITALIA</v>
          </cell>
          <cell r="J1107" t="str">
            <v>0331-338811</v>
          </cell>
        </row>
        <row r="1108">
          <cell r="B1108">
            <v>4914</v>
          </cell>
          <cell r="C1108" t="str">
            <v>G.A.  DISTRIBUZIONE DI  GIANNI ANSALDI</v>
          </cell>
          <cell r="D1108" t="str">
            <v>11592020017 NSLGNN70S14L219 C</v>
          </cell>
          <cell r="E1108" t="str">
            <v>VIA CAVALLERMAGGIORE, 19</v>
          </cell>
          <cell r="F1108">
            <v>10100</v>
          </cell>
          <cell r="G1108" t="str">
            <v>TORINO</v>
          </cell>
          <cell r="H1108" t="str">
            <v>TO</v>
          </cell>
          <cell r="I1108" t="str">
            <v>ITALIA</v>
          </cell>
          <cell r="J1108" t="str">
            <v>347-4542922</v>
          </cell>
        </row>
        <row r="1109">
          <cell r="B1109">
            <v>2414</v>
          </cell>
          <cell r="C1109" t="str">
            <v>G.A. DI GIACOMO  AGLIONI</v>
          </cell>
          <cell r="D1109" t="str">
            <v>02271110963</v>
          </cell>
          <cell r="E1109" t="str">
            <v>VIA U. GIORDANO, 57</v>
          </cell>
          <cell r="F1109">
            <v>20092</v>
          </cell>
          <cell r="G1109" t="str">
            <v>CINISELLO  BALSAMO</v>
          </cell>
          <cell r="H1109" t="str">
            <v>MI</v>
          </cell>
          <cell r="I1109" t="str">
            <v>ITALIA</v>
          </cell>
          <cell r="J1109" t="str">
            <v>02-6195629</v>
          </cell>
        </row>
        <row r="1110">
          <cell r="B1110">
            <v>6695</v>
          </cell>
          <cell r="C1110" t="str">
            <v>G.A.M. DI ANDREA  GIUDICI &amp; C. S.N.C.</v>
          </cell>
          <cell r="D1110" t="str">
            <v>11974410018 11974410018</v>
          </cell>
          <cell r="E1110" t="str">
            <v>C.SO VERCELLI, 193/D</v>
          </cell>
          <cell r="F1110">
            <v>10155</v>
          </cell>
          <cell r="G1110" t="str">
            <v>TORINO</v>
          </cell>
          <cell r="H1110" t="str">
            <v>TO</v>
          </cell>
          <cell r="I1110" t="str">
            <v>ITALIA</v>
          </cell>
          <cell r="J1110" t="str">
            <v>348-8553719</v>
          </cell>
        </row>
        <row r="1111">
          <cell r="B1111">
            <v>804</v>
          </cell>
          <cell r="C1111" t="str">
            <v>G.B.C.F. DI G.  BELLATO  DISTRIBUTORI   AUTOMATICI</v>
          </cell>
          <cell r="D1111" t="str">
            <v>10903100153 BLLGTN52E31L026A</v>
          </cell>
          <cell r="E1111" t="str">
            <v>VIA SAN MAURO, 10/12</v>
          </cell>
          <cell r="F1111">
            <v>20015</v>
          </cell>
          <cell r="G1111" t="str">
            <v>PARABIAGO</v>
          </cell>
          <cell r="H1111" t="str">
            <v>MI</v>
          </cell>
          <cell r="I1111" t="str">
            <v>ITALIA</v>
          </cell>
          <cell r="J1111" t="str">
            <v>0331-555250</v>
          </cell>
        </row>
        <row r="1112">
          <cell r="B1112">
            <v>10136</v>
          </cell>
          <cell r="C1112" t="str">
            <v>G.COMPANY S.A.S. DI GORINI LORENZO</v>
          </cell>
          <cell r="E1112" t="str">
            <v>VIA DEI NUGNAI, 4/6 - 4/8</v>
          </cell>
          <cell r="F1112">
            <v>59100</v>
          </cell>
          <cell r="G1112" t="str">
            <v>PRATO</v>
          </cell>
          <cell r="H1112" t="str">
            <v>PO</v>
          </cell>
          <cell r="I1112" t="str">
            <v>ITALIA</v>
          </cell>
          <cell r="J1112" t="str">
            <v>0574-879165</v>
          </cell>
        </row>
        <row r="1113">
          <cell r="B1113">
            <v>5108</v>
          </cell>
          <cell r="C1113" t="str">
            <v>G.D.A. S.R.L.</v>
          </cell>
          <cell r="D1113" t="str">
            <v>00500240015 00500240015</v>
          </cell>
          <cell r="E1113" t="str">
            <v>CORSO IV NOVEMBRE,  106</v>
          </cell>
          <cell r="F1113">
            <v>10090</v>
          </cell>
          <cell r="G1113" t="str">
            <v>CASCINE VICA</v>
          </cell>
          <cell r="H1113" t="str">
            <v>TO</v>
          </cell>
          <cell r="I1113" t="str">
            <v>ITALIA</v>
          </cell>
          <cell r="J1113" t="str">
            <v>011-9594666</v>
          </cell>
        </row>
        <row r="1114">
          <cell r="B1114">
            <v>4799</v>
          </cell>
          <cell r="C1114" t="str">
            <v>G.D.R. DI ROSSINI  DAVIDE &amp; C. S.A.S.</v>
          </cell>
          <cell r="D1114" t="str">
            <v>01092220191 01092220191</v>
          </cell>
          <cell r="E1114" t="str">
            <v>VIA XXV APRILE, 3</v>
          </cell>
          <cell r="F1114">
            <v>26027</v>
          </cell>
          <cell r="G1114" t="str">
            <v>RIVOLTA D'ADDA</v>
          </cell>
          <cell r="H1114" t="str">
            <v>CR</v>
          </cell>
          <cell r="I1114" t="str">
            <v>ITALIA</v>
          </cell>
          <cell r="J1114" t="str">
            <v xml:space="preserve">0363-79314 </v>
          </cell>
        </row>
        <row r="1115">
          <cell r="B1115">
            <v>2762</v>
          </cell>
          <cell r="C1115" t="str">
            <v>G.E.D.A.C. S.R.L.</v>
          </cell>
          <cell r="D1115" t="str">
            <v>00118490192 00118490192</v>
          </cell>
          <cell r="E1115" t="str">
            <v>VIA CALCIATI, 4/D</v>
          </cell>
          <cell r="F1115">
            <v>26100</v>
          </cell>
          <cell r="G1115" t="str">
            <v>CREMONA</v>
          </cell>
          <cell r="H1115" t="str">
            <v>CR</v>
          </cell>
          <cell r="I1115" t="str">
            <v>ITALIA</v>
          </cell>
          <cell r="J1115" t="str">
            <v>0372-433207</v>
          </cell>
        </row>
        <row r="1116">
          <cell r="B1116">
            <v>4759</v>
          </cell>
          <cell r="C1116" t="str">
            <v>G.F. DI FIRINU G. &amp;  GREGU F. S.N.C.</v>
          </cell>
          <cell r="D1116" t="str">
            <v>00897590915 00897590915</v>
          </cell>
          <cell r="E1116" t="str">
            <v>Z.I. PRATO SARDO LOTTO, 169</v>
          </cell>
          <cell r="F1116">
            <v>8100</v>
          </cell>
          <cell r="G1116" t="str">
            <v>NUORO</v>
          </cell>
          <cell r="H1116" t="str">
            <v>NU</v>
          </cell>
          <cell r="I1116" t="str">
            <v>ITALIA</v>
          </cell>
          <cell r="J1116" t="str">
            <v xml:space="preserve">0784-296007 </v>
          </cell>
        </row>
        <row r="1117">
          <cell r="B1117">
            <v>3604</v>
          </cell>
          <cell r="C1117" t="str">
            <v>G.F.C. SAS DI  COLONNA GLORIA  LAURA</v>
          </cell>
          <cell r="D1117" t="str">
            <v>06585540963 06585540963</v>
          </cell>
          <cell r="E1117" t="str">
            <v>VIA ALBARELLA, 5</v>
          </cell>
          <cell r="F1117">
            <v>20019</v>
          </cell>
          <cell r="G1117" t="str">
            <v>SETTIMO  MILANESE</v>
          </cell>
          <cell r="H1117" t="str">
            <v>MI</v>
          </cell>
          <cell r="I1117" t="str">
            <v>ITALIA</v>
          </cell>
          <cell r="J1117" t="str">
            <v xml:space="preserve">335-8308006 </v>
          </cell>
        </row>
        <row r="1118">
          <cell r="B1118">
            <v>7512</v>
          </cell>
          <cell r="C1118" t="str">
            <v>G.M. CAFFE' DI  ATSUVI GLORIA  DELA</v>
          </cell>
          <cell r="D1118" t="str">
            <v>12464580013 TSVGRD86T61Z325 V</v>
          </cell>
          <cell r="E1118" t="str">
            <v>VIA AOSTA, 11</v>
          </cell>
          <cell r="F1118">
            <v>10100</v>
          </cell>
          <cell r="G1118" t="str">
            <v>TORINO</v>
          </cell>
          <cell r="H1118" t="str">
            <v>TO</v>
          </cell>
          <cell r="I1118" t="str">
            <v>ITALIA</v>
          </cell>
          <cell r="J1118" t="str">
            <v>329-1779682</v>
          </cell>
        </row>
        <row r="1119">
          <cell r="B1119">
            <v>6579</v>
          </cell>
          <cell r="C1119" t="str">
            <v>G.M. SERVICE DI  MARTINO MARTA</v>
          </cell>
          <cell r="D1119" t="str">
            <v>11837220018 MRTMRT91E43G674 L</v>
          </cell>
          <cell r="E1119" t="str">
            <v>VIA VAL PELLICE, 65</v>
          </cell>
          <cell r="F1119">
            <v>10060</v>
          </cell>
          <cell r="G1119" t="str">
            <v>SAN SECONDO  DI PINEROLO</v>
          </cell>
          <cell r="H1119" t="str">
            <v>TO</v>
          </cell>
          <cell r="I1119" t="str">
            <v>ITALIA</v>
          </cell>
          <cell r="J1119" t="str">
            <v>338-5954004</v>
          </cell>
        </row>
        <row r="1120">
          <cell r="B1120">
            <v>7475</v>
          </cell>
          <cell r="C1120" t="str">
            <v>G.M.A. DI GAZZI  MATTEO FERNANDO</v>
          </cell>
          <cell r="D1120" t="str">
            <v>03753430127 GZZMTF73C05B300 L</v>
          </cell>
          <cell r="E1120" t="str">
            <v>VIA GIULIO PASTORE, 34</v>
          </cell>
          <cell r="F1120">
            <v>21052</v>
          </cell>
          <cell r="G1120" t="str">
            <v>BUSTO ARSIZIO</v>
          </cell>
          <cell r="H1120" t="str">
            <v>VA</v>
          </cell>
          <cell r="I1120" t="str">
            <v>ITALIA</v>
          </cell>
          <cell r="J1120" t="str">
            <v>340-8854021</v>
          </cell>
        </row>
        <row r="1121">
          <cell r="B1121">
            <v>3322</v>
          </cell>
          <cell r="C1121" t="str">
            <v>G.O.R. PADERNO PROTEZIONE CIVILE ONLUS</v>
          </cell>
          <cell r="D1121" t="str">
            <v>91018730159</v>
          </cell>
          <cell r="E1121" t="str">
            <v>VIA 2 GIUGNO, 13</v>
          </cell>
          <cell r="F1121">
            <v>20037</v>
          </cell>
          <cell r="G1121" t="str">
            <v>PADERNO  DUGNANO</v>
          </cell>
          <cell r="H1121" t="str">
            <v>MI</v>
          </cell>
          <cell r="I1121" t="str">
            <v>ITALIA</v>
          </cell>
          <cell r="J1121" t="str">
            <v>02-9105541</v>
          </cell>
        </row>
        <row r="1122">
          <cell r="B1122">
            <v>6958</v>
          </cell>
          <cell r="C1122" t="str">
            <v>G.P.S. SERVICE S.R. L.S</v>
          </cell>
          <cell r="D1122" t="str">
            <v>10143330966 10143330966</v>
          </cell>
          <cell r="E1122" t="str">
            <v>VIA VARALLI, 42</v>
          </cell>
          <cell r="F1122">
            <v>20089</v>
          </cell>
          <cell r="G1122" t="str">
            <v>ROZZANO</v>
          </cell>
          <cell r="H1122" t="str">
            <v>MI</v>
          </cell>
          <cell r="I1122" t="str">
            <v>ITALIA</v>
          </cell>
          <cell r="J1122" t="str">
            <v xml:space="preserve">02-8241429 </v>
          </cell>
        </row>
        <row r="1123">
          <cell r="B1123">
            <v>3047</v>
          </cell>
          <cell r="C1123" t="str">
            <v>G.S. SERVICE S.N.C.</v>
          </cell>
          <cell r="D1123" t="str">
            <v>02339880029 02339880029</v>
          </cell>
          <cell r="E1123" t="str">
            <v>VIA CANDIA, 21</v>
          </cell>
          <cell r="F1123">
            <v>13100</v>
          </cell>
          <cell r="G1123" t="str">
            <v>VERCELLI</v>
          </cell>
          <cell r="H1123" t="str">
            <v>VC</v>
          </cell>
          <cell r="I1123" t="str">
            <v>ITALIA</v>
          </cell>
          <cell r="J1123" t="str">
            <v>0161-1740826</v>
          </cell>
        </row>
        <row r="1124">
          <cell r="B1124">
            <v>5957</v>
          </cell>
          <cell r="C1124" t="str">
            <v>G.S.D.A.GEST.SERV. DISTR.AUT. DI  CORMUTO DAVIDE</v>
          </cell>
          <cell r="D1124" t="str">
            <v>07423430011 CRMDVD69L12L219 Y</v>
          </cell>
          <cell r="E1124" t="str">
            <v>VIA FIDIA, 52</v>
          </cell>
          <cell r="F1124">
            <v>10141</v>
          </cell>
          <cell r="G1124" t="str">
            <v>TORINO</v>
          </cell>
          <cell r="H1124" t="str">
            <v>TO</v>
          </cell>
          <cell r="I1124" t="str">
            <v>ITALIA</v>
          </cell>
          <cell r="J1124" t="str">
            <v xml:space="preserve">011-7795152 </v>
          </cell>
        </row>
        <row r="1125">
          <cell r="B1125">
            <v>4369</v>
          </cell>
          <cell r="C1125" t="str">
            <v>GABRIELE  BULGARINI</v>
          </cell>
          <cell r="D1125" t="str">
            <v>BLGGRL66R01C707 M</v>
          </cell>
          <cell r="E1125" t="str">
            <v>VIA VIPACCO  5</v>
          </cell>
          <cell r="F1125">
            <v>20126</v>
          </cell>
          <cell r="G1125" t="str">
            <v>MILANO</v>
          </cell>
          <cell r="H1125" t="str">
            <v>MI</v>
          </cell>
          <cell r="I1125" t="str">
            <v>ITALIA</v>
          </cell>
          <cell r="J1125" t="str">
            <v>338-8376706</v>
          </cell>
        </row>
        <row r="1126">
          <cell r="B1126">
            <v>7517</v>
          </cell>
          <cell r="C1126" t="str">
            <v>GADALETA ANTONIO</v>
          </cell>
          <cell r="D1126" t="str">
            <v>GDLNTN86R17L113 C</v>
          </cell>
          <cell r="E1126" t="str">
            <v>VIA POSITANO, 10</v>
          </cell>
          <cell r="F1126">
            <v>86039</v>
          </cell>
          <cell r="G1126" t="str">
            <v>TERMOLI</v>
          </cell>
          <cell r="H1126" t="str">
            <v>CB</v>
          </cell>
          <cell r="I1126" t="str">
            <v>ITALIA</v>
          </cell>
          <cell r="J1126" t="str">
            <v>346-3135717</v>
          </cell>
        </row>
        <row r="1127">
          <cell r="B1127">
            <v>1462</v>
          </cell>
          <cell r="C1127" t="str">
            <v>GALAFASSI  GIACOMO</v>
          </cell>
          <cell r="D1127" t="str">
            <v>00256260969 GLFGCM63C17I625 L</v>
          </cell>
          <cell r="E1127" t="str">
            <v>VIA RAFFAELLO SANZIO,  24</v>
          </cell>
          <cell r="F1127">
            <v>20038</v>
          </cell>
          <cell r="G1127" t="str">
            <v>SEREGNO</v>
          </cell>
          <cell r="H1127" t="str">
            <v>MI</v>
          </cell>
          <cell r="I1127" t="str">
            <v>ITALIA</v>
          </cell>
          <cell r="J1127" t="str">
            <v>039-327073</v>
          </cell>
        </row>
        <row r="1128">
          <cell r="B1128">
            <v>7201</v>
          </cell>
          <cell r="C1128" t="str">
            <v>GALANTE GENNARO</v>
          </cell>
          <cell r="D1128" t="str">
            <v>GLNGNR68M21F052 S</v>
          </cell>
          <cell r="E1128" t="str">
            <v>VIA OLIVETTI, 25/27</v>
          </cell>
          <cell r="F1128">
            <v>75100</v>
          </cell>
          <cell r="G1128" t="str">
            <v>MATERA</v>
          </cell>
          <cell r="H1128" t="str">
            <v>MT</v>
          </cell>
          <cell r="I1128" t="str">
            <v>ITALIA</v>
          </cell>
          <cell r="J1128" t="str">
            <v>333-1220762</v>
          </cell>
        </row>
        <row r="1129">
          <cell r="B1129">
            <v>7025</v>
          </cell>
          <cell r="C1129" t="str">
            <v>GALANTE MARIO</v>
          </cell>
          <cell r="D1129" t="str">
            <v>GLNMRA69H09F839 U</v>
          </cell>
          <cell r="E1129" t="str">
            <v>VIA TICINO, 7</v>
          </cell>
          <cell r="F1129">
            <v>50053</v>
          </cell>
          <cell r="G1129" t="str">
            <v>EMPOLI</v>
          </cell>
          <cell r="H1129" t="str">
            <v>FI</v>
          </cell>
          <cell r="I1129" t="str">
            <v>ITALIA</v>
          </cell>
          <cell r="J1129" t="str">
            <v>342-0224635</v>
          </cell>
        </row>
        <row r="1130">
          <cell r="B1130">
            <v>7252</v>
          </cell>
          <cell r="C1130" t="str">
            <v>GALBIATI MICHELA</v>
          </cell>
          <cell r="D1130" t="str">
            <v>GLBMHL85M60B729 A</v>
          </cell>
          <cell r="E1130" t="str">
            <v>VIA VISCONTA 9</v>
          </cell>
          <cell r="F1130">
            <v>20841</v>
          </cell>
          <cell r="G1130" t="str">
            <v>BESANA IN  BRIANZA</v>
          </cell>
          <cell r="H1130" t="str">
            <v>MB</v>
          </cell>
          <cell r="I1130" t="str">
            <v>ITALIA</v>
          </cell>
          <cell r="J1130" t="str">
            <v>340-6790775</v>
          </cell>
        </row>
        <row r="1131">
          <cell r="B1131">
            <v>7466</v>
          </cell>
          <cell r="C1131" t="str">
            <v>GALDI GAIA</v>
          </cell>
          <cell r="D1131" t="str">
            <v>GLDGAI00L65A515 V</v>
          </cell>
          <cell r="E1131" t="str">
            <v>VIA NOBEL 19</v>
          </cell>
          <cell r="F1131">
            <v>67059</v>
          </cell>
          <cell r="G1131" t="str">
            <v>TRASACCO</v>
          </cell>
          <cell r="H1131" t="str">
            <v>AQ</v>
          </cell>
          <cell r="I1131" t="str">
            <v>ITALIA</v>
          </cell>
          <cell r="J1131" t="str">
            <v>327-2004294</v>
          </cell>
        </row>
        <row r="1132">
          <cell r="B1132">
            <v>4744</v>
          </cell>
          <cell r="C1132" t="str">
            <v>GALETTI RENATO</v>
          </cell>
          <cell r="D1132" t="str">
            <v>09568130018 GLTRNT56L29L219Y</v>
          </cell>
          <cell r="E1132" t="str">
            <v>VIA PAVAROLO, 10</v>
          </cell>
          <cell r="F1132">
            <v>10020</v>
          </cell>
          <cell r="G1132" t="str">
            <v>BALDISSERO  TORINESE</v>
          </cell>
          <cell r="H1132" t="str">
            <v>TO</v>
          </cell>
          <cell r="I1132" t="str">
            <v>ITALIA</v>
          </cell>
          <cell r="J1132" t="str">
            <v>348-2302491</v>
          </cell>
        </row>
        <row r="1133">
          <cell r="B1133">
            <v>3528</v>
          </cell>
          <cell r="C1133" t="str">
            <v>GALLEASSO SERGIO</v>
          </cell>
          <cell r="D1133" t="str">
            <v>GLLSRG38S14A124 G</v>
          </cell>
          <cell r="E1133" t="str">
            <v>VIA TOSCANINI, 31</v>
          </cell>
          <cell r="F1133">
            <v>10064</v>
          </cell>
          <cell r="G1133" t="str">
            <v>PINEROLO</v>
          </cell>
          <cell r="H1133" t="str">
            <v>TO</v>
          </cell>
          <cell r="I1133" t="str">
            <v>ITALIA</v>
          </cell>
          <cell r="J1133" t="str">
            <v>338-6182386</v>
          </cell>
        </row>
        <row r="1134">
          <cell r="B1134">
            <v>7529</v>
          </cell>
          <cell r="C1134" t="str">
            <v>GALLI AGNESE</v>
          </cell>
          <cell r="D1134" t="str">
            <v>GLLGNS83E67I921D</v>
          </cell>
          <cell r="E1134" t="str">
            <v>FRAZIONE AZZANO, 15/A</v>
          </cell>
          <cell r="F1134">
            <v>6049</v>
          </cell>
          <cell r="G1134" t="str">
            <v>SPOLETO</v>
          </cell>
          <cell r="H1134" t="str">
            <v>PG</v>
          </cell>
          <cell r="I1134" t="str">
            <v>ITALIA</v>
          </cell>
          <cell r="J1134" t="str">
            <v>334-3175189</v>
          </cell>
        </row>
        <row r="1135">
          <cell r="B1135">
            <v>7337</v>
          </cell>
          <cell r="C1135" t="str">
            <v>GALLINA MASSIMO</v>
          </cell>
          <cell r="D1135" t="str">
            <v>GLLMSM82M31L750 M</v>
          </cell>
          <cell r="E1135" t="str">
            <v>VIA CARSO 74</v>
          </cell>
          <cell r="F1135">
            <v>13100</v>
          </cell>
          <cell r="G1135" t="str">
            <v>VERCELLI</v>
          </cell>
          <cell r="H1135" t="str">
            <v>VC</v>
          </cell>
          <cell r="I1135" t="str">
            <v>ITALIA</v>
          </cell>
          <cell r="J1135" t="str">
            <v>340-6458843</v>
          </cell>
        </row>
        <row r="1136">
          <cell r="B1136">
            <v>5159</v>
          </cell>
          <cell r="C1136" t="str">
            <v>GALOSSO GIOVANNI &amp; C. S.N.C.</v>
          </cell>
          <cell r="D1136" t="str">
            <v>02532530017 02532530017</v>
          </cell>
          <cell r="E1136" t="str">
            <v>VIA REANO, 1</v>
          </cell>
          <cell r="F1136">
            <v>10040</v>
          </cell>
          <cell r="G1136" t="str">
            <v>RIVALTA</v>
          </cell>
          <cell r="H1136" t="str">
            <v>TO</v>
          </cell>
          <cell r="I1136" t="str">
            <v>ITALIA</v>
          </cell>
          <cell r="J1136" t="str">
            <v>011-9032990</v>
          </cell>
        </row>
        <row r="1137">
          <cell r="B1137">
            <v>6852</v>
          </cell>
          <cell r="C1137" t="str">
            <v>GAMES CENTER DI  BENOTTO A.&amp; C. S.N. C.</v>
          </cell>
          <cell r="D1137" t="str">
            <v>06568770017</v>
          </cell>
          <cell r="E1137" t="str">
            <v>VIA BRUSNENGO, 10</v>
          </cell>
          <cell r="F1137">
            <v>10147</v>
          </cell>
          <cell r="G1137" t="str">
            <v>TORINO</v>
          </cell>
          <cell r="H1137" t="str">
            <v>TO</v>
          </cell>
          <cell r="I1137" t="str">
            <v>ITALIA</v>
          </cell>
          <cell r="J1137" t="str">
            <v>011-2213594</v>
          </cell>
        </row>
        <row r="1138">
          <cell r="B1138">
            <v>6075</v>
          </cell>
          <cell r="C1138" t="str">
            <v>GAMES POINT S.R.L.</v>
          </cell>
          <cell r="D1138" t="str">
            <v>08353020012 08353020012</v>
          </cell>
          <cell r="E1138" t="str">
            <v>VIA ELLERO, 25</v>
          </cell>
          <cell r="F1138">
            <v>10126</v>
          </cell>
          <cell r="G1138" t="str">
            <v>TORINO</v>
          </cell>
          <cell r="H1138" t="str">
            <v>TO</v>
          </cell>
          <cell r="I1138" t="str">
            <v>ITALIA</v>
          </cell>
          <cell r="J1138" t="str">
            <v>329-2126807</v>
          </cell>
        </row>
        <row r="1139">
          <cell r="B1139">
            <v>10013</v>
          </cell>
          <cell r="C1139" t="str">
            <v>GAMMA SERVICE</v>
          </cell>
          <cell r="E1139" t="str">
            <v>VIA CANDINI,15</v>
          </cell>
          <cell r="F1139">
            <v>40012</v>
          </cell>
          <cell r="G1139" t="str">
            <v>LIPPO DI CALDERARA DI RENO</v>
          </cell>
          <cell r="H1139" t="str">
            <v>BO</v>
          </cell>
          <cell r="I1139" t="str">
            <v>ITALIA</v>
          </cell>
          <cell r="J1139" t="str">
            <v>051-725379</v>
          </cell>
        </row>
        <row r="1140">
          <cell r="B1140">
            <v>3482</v>
          </cell>
          <cell r="C1140" t="str">
            <v>GAP 02 S.R.L.</v>
          </cell>
          <cell r="D1140" t="str">
            <v>06494920967 06494920967</v>
          </cell>
          <cell r="E1140" t="str">
            <v>VIA PIERO CALDIROLA, 7</v>
          </cell>
          <cell r="F1140">
            <v>20126</v>
          </cell>
          <cell r="G1140" t="str">
            <v>MILANO</v>
          </cell>
          <cell r="H1140" t="str">
            <v>MI</v>
          </cell>
          <cell r="I1140" t="str">
            <v>ITALIA</v>
          </cell>
          <cell r="J1140" t="str">
            <v>02-29401045</v>
          </cell>
        </row>
        <row r="1141">
          <cell r="B1141">
            <v>6604</v>
          </cell>
          <cell r="C1141" t="str">
            <v>GAROFALO  PANTALEONE</v>
          </cell>
          <cell r="D1141" t="str">
            <v>GRFPTL40P27F205J</v>
          </cell>
          <cell r="E1141" t="str">
            <v>LOCALITA' LISCATO</v>
          </cell>
          <cell r="F1141">
            <v>29023</v>
          </cell>
          <cell r="G1141" t="str">
            <v>FARINI</v>
          </cell>
          <cell r="H1141" t="str">
            <v>PC</v>
          </cell>
          <cell r="I1141" t="str">
            <v>ITALIA</v>
          </cell>
        </row>
        <row r="1142">
          <cell r="B1142">
            <v>6902</v>
          </cell>
          <cell r="C1142" t="str">
            <v>GAROFALO MASSIMO</v>
          </cell>
          <cell r="D1142" t="str">
            <v>GRFMSM75B20D122 M</v>
          </cell>
          <cell r="E1142" t="str">
            <v>via pallagorio  n°7</v>
          </cell>
          <cell r="F1142">
            <v>88900</v>
          </cell>
          <cell r="G1142" t="str">
            <v>Crotone</v>
          </cell>
          <cell r="I1142" t="str">
            <v>ITALIA</v>
          </cell>
          <cell r="J1142" t="str">
            <v>338-7559163</v>
          </cell>
        </row>
        <row r="1143">
          <cell r="B1143">
            <v>7051</v>
          </cell>
          <cell r="C1143" t="str">
            <v>GASTRO  GOURMET  GIACCONE</v>
          </cell>
          <cell r="D1143" t="str">
            <v>E299144815</v>
          </cell>
          <cell r="E1143" t="str">
            <v>WETZIWILERSTRASSE, 1</v>
          </cell>
          <cell r="F1143">
            <v>6221</v>
          </cell>
          <cell r="G1143" t="str">
            <v>RICHENBACK</v>
          </cell>
          <cell r="I1143" t="str">
            <v>SVIZZERA</v>
          </cell>
          <cell r="J1143" t="str">
            <v>0041-786378390</v>
          </cell>
        </row>
        <row r="1144">
          <cell r="B1144">
            <v>7350</v>
          </cell>
          <cell r="C1144" t="str">
            <v>GASTRO GOURMET  GIACCONE GMBH</v>
          </cell>
          <cell r="D1144" t="str">
            <v>CHE-103.426.821</v>
          </cell>
          <cell r="E1144" t="str">
            <v>WETZIWILERSTRASSE, 1</v>
          </cell>
          <cell r="F1144">
            <v>6221</v>
          </cell>
          <cell r="G1144" t="str">
            <v>RICHENBACK -  SVIZZERA -</v>
          </cell>
          <cell r="I1144" t="str">
            <v>SVIZZERA</v>
          </cell>
          <cell r="J1144" t="str">
            <v>0041- 786378390</v>
          </cell>
        </row>
        <row r="1145">
          <cell r="B1145">
            <v>6503</v>
          </cell>
          <cell r="C1145" t="str">
            <v>GASTRO SERVICE  SHPK</v>
          </cell>
          <cell r="D1145" t="str">
            <v>K41906004N</v>
          </cell>
          <cell r="E1145" t="str">
            <v>RR.SIRI KODRA  FRIGORIFERI SHG</v>
          </cell>
          <cell r="F1145"/>
          <cell r="G1145" t="str">
            <v>TIRANE -  ALBANIA -</v>
          </cell>
          <cell r="I1145" t="str">
            <v>Albania</v>
          </cell>
          <cell r="J1145" t="str">
            <v>355-42316333</v>
          </cell>
        </row>
        <row r="1146">
          <cell r="B1146">
            <v>7341</v>
          </cell>
          <cell r="C1146" t="str">
            <v>GATTONI ROBERTO</v>
          </cell>
          <cell r="D1146" t="str">
            <v>GTTRRT66C24H037 B</v>
          </cell>
          <cell r="E1146" t="str">
            <v>VIA REZIA 236</v>
          </cell>
          <cell r="F1146">
            <v>39046</v>
          </cell>
          <cell r="G1146" t="str">
            <v>ORTISEI</v>
          </cell>
          <cell r="H1146" t="str">
            <v>BZ</v>
          </cell>
          <cell r="I1146" t="str">
            <v>ITALIA</v>
          </cell>
          <cell r="J1146" t="str">
            <v>333-3022181</v>
          </cell>
        </row>
        <row r="1147">
          <cell r="B1147">
            <v>6997</v>
          </cell>
          <cell r="C1147" t="str">
            <v>GATTOPARDO FOOD  DI PAOLO CICIO</v>
          </cell>
          <cell r="D1147" t="str">
            <v>E398160901</v>
          </cell>
          <cell r="E1147" t="str">
            <v>ANGLIKERSTRASSE, 5</v>
          </cell>
          <cell r="F1147">
            <v>5610</v>
          </cell>
          <cell r="G1147" t="str">
            <v>WOHLEN -  SVIZZERA -</v>
          </cell>
          <cell r="I1147" t="str">
            <v>ITALIA</v>
          </cell>
          <cell r="J1147"/>
        </row>
        <row r="1148">
          <cell r="B1148">
            <v>8481</v>
          </cell>
          <cell r="C1148" t="str">
            <v>GATTOPARDO GMBH</v>
          </cell>
          <cell r="E1148" t="str">
            <v>ANGLIKERSTRASSE,5</v>
          </cell>
          <cell r="F1148">
            <v>5610</v>
          </cell>
          <cell r="G1148" t="str">
            <v>WHOLEN -SVIZZERA-</v>
          </cell>
          <cell r="H1148" t="str">
            <v>AG</v>
          </cell>
          <cell r="I1148" t="str">
            <v>SVIZZERA</v>
          </cell>
        </row>
        <row r="1149">
          <cell r="B1149">
            <v>2416</v>
          </cell>
          <cell r="C1149" t="str">
            <v>GAZZOLA TOMMASO</v>
          </cell>
          <cell r="D1149" t="str">
            <v>00784150336</v>
          </cell>
          <cell r="E1149" t="str">
            <v>VIA GRAMSCI, 40</v>
          </cell>
          <cell r="F1149">
            <v>29100</v>
          </cell>
          <cell r="G1149" t="str">
            <v>PIACENZA</v>
          </cell>
          <cell r="H1149" t="str">
            <v>PC</v>
          </cell>
          <cell r="I1149" t="str">
            <v>ITALIA</v>
          </cell>
          <cell r="J1149" t="str">
            <v xml:space="preserve">0523-759167 </v>
          </cell>
        </row>
        <row r="1150">
          <cell r="B1150">
            <v>4340</v>
          </cell>
          <cell r="C1150" t="str">
            <v>GBE VENDING S.A.S.</v>
          </cell>
          <cell r="D1150" t="str">
            <v>10898800015 10898800015</v>
          </cell>
          <cell r="E1150" t="str">
            <v>VIA CARLO ALBERTO, 36</v>
          </cell>
          <cell r="F1150">
            <v>10123</v>
          </cell>
          <cell r="G1150" t="str">
            <v>TORINO</v>
          </cell>
          <cell r="H1150" t="str">
            <v>TO</v>
          </cell>
          <cell r="I1150" t="str">
            <v>ITALIA</v>
          </cell>
          <cell r="J1150" t="str">
            <v>011-9586342</v>
          </cell>
        </row>
        <row r="1151">
          <cell r="B1151">
            <v>6652</v>
          </cell>
          <cell r="C1151" t="str">
            <v>GD S.R.L.S.</v>
          </cell>
          <cell r="D1151" t="str">
            <v>02572100069 02572100069</v>
          </cell>
          <cell r="E1151" t="str">
            <v>VIALE DELLA REPUBBLICA, 5G</v>
          </cell>
          <cell r="F1151">
            <v>15048</v>
          </cell>
          <cell r="G1151" t="str">
            <v>VALENZA</v>
          </cell>
          <cell r="H1151" t="str">
            <v>AL</v>
          </cell>
          <cell r="I1151" t="str">
            <v>ITALIA</v>
          </cell>
          <cell r="J1151" t="str">
            <v>347-0137902</v>
          </cell>
        </row>
        <row r="1152">
          <cell r="B1152">
            <v>2256</v>
          </cell>
          <cell r="C1152" t="str">
            <v>GDA S.R.L.</v>
          </cell>
          <cell r="D1152" t="str">
            <v>02862300049 02862300049</v>
          </cell>
          <cell r="E1152" t="str">
            <v>LOC SAN MICHELE, 36</v>
          </cell>
          <cell r="F1152">
            <v>12070</v>
          </cell>
          <cell r="G1152" t="str">
            <v>CASTELLETTO  UZZONE</v>
          </cell>
          <cell r="H1152" t="str">
            <v>CN</v>
          </cell>
          <cell r="I1152" t="str">
            <v>ITALIA</v>
          </cell>
          <cell r="J1152" t="str">
            <v>0173-89197</v>
          </cell>
        </row>
        <row r="1153">
          <cell r="B1153">
            <v>6615</v>
          </cell>
          <cell r="C1153" t="str">
            <v>GDS DI FEDERICO  BAGNATI</v>
          </cell>
          <cell r="D1153" t="str">
            <v>08772730019 BGNFRC79P21L219 G</v>
          </cell>
          <cell r="E1153" t="str">
            <v>VIA LANZO, 24</v>
          </cell>
          <cell r="F1153">
            <v>10071</v>
          </cell>
          <cell r="G1153" t="str">
            <v>BORGARO  TORINESE</v>
          </cell>
          <cell r="H1153" t="str">
            <v>TO</v>
          </cell>
          <cell r="I1153" t="str">
            <v>ITALIA</v>
          </cell>
          <cell r="J1153" t="str">
            <v>011-4703426</v>
          </cell>
        </row>
        <row r="1154">
          <cell r="B1154">
            <v>6105</v>
          </cell>
          <cell r="C1154" t="str">
            <v>GE.D.A. DI  INGARAMO LUIGI</v>
          </cell>
          <cell r="D1154" t="str">
            <v>03002120040 NGRLGU52M09B720 Z</v>
          </cell>
          <cell r="E1154" t="str">
            <v>VIA SAN SEBASTIANO, 37</v>
          </cell>
          <cell r="F1154">
            <v>12030</v>
          </cell>
          <cell r="G1154" t="str">
            <v>CARAMAGNA  PIEMONTE</v>
          </cell>
          <cell r="H1154" t="str">
            <v>CN</v>
          </cell>
          <cell r="I1154" t="str">
            <v>ITALIA</v>
          </cell>
          <cell r="J1154" t="str">
            <v xml:space="preserve">0172-89402 </v>
          </cell>
        </row>
        <row r="1155">
          <cell r="B1155">
            <v>5112</v>
          </cell>
          <cell r="C1155" t="str">
            <v>GE.D.A.T. S.R.L.</v>
          </cell>
          <cell r="D1155" t="str">
            <v>05337490014 05337490014</v>
          </cell>
          <cell r="E1155" t="str">
            <v>VIA ALPIGNANO, 26</v>
          </cell>
          <cell r="F1155">
            <v>10040</v>
          </cell>
          <cell r="G1155" t="str">
            <v>SAN GILLIO</v>
          </cell>
          <cell r="H1155" t="str">
            <v>TO</v>
          </cell>
          <cell r="I1155" t="str">
            <v>ITALIA</v>
          </cell>
          <cell r="J1155" t="str">
            <v>011-9840744</v>
          </cell>
        </row>
        <row r="1156">
          <cell r="B1156">
            <v>5941</v>
          </cell>
          <cell r="C1156" t="str">
            <v>GE.DI.CA.F. S.N. C. DI DE PASQUALE  G. &amp; M.</v>
          </cell>
          <cell r="D1156" t="str">
            <v>03920440017 03920440017</v>
          </cell>
          <cell r="E1156" t="str">
            <v>VIA NAPOLI, 21/B</v>
          </cell>
          <cell r="F1156">
            <v>10093</v>
          </cell>
          <cell r="G1156" t="str">
            <v>COLLEGNO</v>
          </cell>
          <cell r="H1156" t="str">
            <v>TO</v>
          </cell>
          <cell r="I1156" t="str">
            <v>ITALIA</v>
          </cell>
          <cell r="J1156" t="str">
            <v>011-4115866</v>
          </cell>
        </row>
        <row r="1157">
          <cell r="B1157">
            <v>4037</v>
          </cell>
          <cell r="C1157" t="str">
            <v>GE.RI.D.A. DI  RONCONI LUCA &amp; C.  SAS</v>
          </cell>
          <cell r="D1157" t="str">
            <v>02257710596 02257710596</v>
          </cell>
          <cell r="E1157" t="str">
            <v>STRADA STATALE  PONTINA KM 47,015</v>
          </cell>
          <cell r="F1157">
            <v>4011</v>
          </cell>
          <cell r="G1157" t="str">
            <v>APRILIA</v>
          </cell>
          <cell r="H1157" t="str">
            <v>LT</v>
          </cell>
          <cell r="I1157" t="str">
            <v>ITALIA</v>
          </cell>
          <cell r="J1157" t="str">
            <v>06-92854476</v>
          </cell>
        </row>
        <row r="1158">
          <cell r="B1158">
            <v>4887</v>
          </cell>
          <cell r="C1158" t="str">
            <v>GEDA S.N.C.</v>
          </cell>
          <cell r="D1158" t="str">
            <v>01606930194 01606930194</v>
          </cell>
          <cell r="E1158" t="str">
            <v>VIA ZARA, 21</v>
          </cell>
          <cell r="F1158">
            <v>26025</v>
          </cell>
          <cell r="G1158" t="str">
            <v>PANDINO</v>
          </cell>
          <cell r="H1158" t="str">
            <v>CR</v>
          </cell>
          <cell r="I1158" t="str">
            <v>ITALIA</v>
          </cell>
          <cell r="J1158" t="str">
            <v>0373-91416</v>
          </cell>
        </row>
        <row r="1159">
          <cell r="B1159">
            <v>161</v>
          </cell>
          <cell r="C1159" t="str">
            <v>GEDAR S.R.L.</v>
          </cell>
          <cell r="D1159" t="str">
            <v>01677230029 01677230029</v>
          </cell>
          <cell r="E1159" t="str">
            <v>VIA OREMO, 15</v>
          </cell>
          <cell r="F1159">
            <v>13872</v>
          </cell>
          <cell r="G1159" t="str">
            <v>BORRIANA</v>
          </cell>
          <cell r="H1159" t="str">
            <v>BI</v>
          </cell>
          <cell r="I1159" t="str">
            <v>ITALIA</v>
          </cell>
          <cell r="J1159" t="str">
            <v>015-446203</v>
          </cell>
        </row>
        <row r="1160">
          <cell r="B1160">
            <v>6960</v>
          </cell>
          <cell r="C1160" t="str">
            <v>GELARDI VALENTINA</v>
          </cell>
          <cell r="D1160" t="str">
            <v>02754270359 GLRVNT79M68G273 G</v>
          </cell>
          <cell r="E1160" t="str">
            <v>VIA SANTE CONTI, 7H</v>
          </cell>
          <cell r="F1160">
            <v>42027</v>
          </cell>
          <cell r="G1160" t="str">
            <v>MONTECCHIO  EMILIA</v>
          </cell>
          <cell r="H1160" t="str">
            <v>RE</v>
          </cell>
          <cell r="I1160" t="str">
            <v>ITALIA</v>
          </cell>
          <cell r="J1160" t="str">
            <v>393-9735262</v>
          </cell>
        </row>
        <row r="1161">
          <cell r="B1161">
            <v>6823</v>
          </cell>
          <cell r="C1161" t="str">
            <v>GELATERIA  ARTIGIANALE  GINDO DI ARAPI  LAURETA</v>
          </cell>
          <cell r="D1161" t="str">
            <v>06809660480 RPALRT74L44Z100 W</v>
          </cell>
          <cell r="E1161" t="str">
            <v>VIA C. RIDOLFI, 87</v>
          </cell>
          <cell r="F1161">
            <v>50053</v>
          </cell>
          <cell r="G1161" t="str">
            <v>EMPOLI</v>
          </cell>
          <cell r="H1161" t="str">
            <v>FI</v>
          </cell>
          <cell r="I1161" t="str">
            <v>ITALIA</v>
          </cell>
        </row>
        <row r="1162">
          <cell r="B1162">
            <v>4154</v>
          </cell>
          <cell r="C1162" t="str">
            <v>GELATERIA GORIA  DI BORLA  ERNESTINO</v>
          </cell>
          <cell r="D1162" t="str">
            <v>06034030012 BRLRST64A31C627 Y</v>
          </cell>
          <cell r="E1162" t="str">
            <v>VIA DELLE MOGLIE 19</v>
          </cell>
          <cell r="F1162">
            <v>10020</v>
          </cell>
          <cell r="G1162" t="str">
            <v>RIVA PRESSO  CHIERI</v>
          </cell>
          <cell r="H1162" t="str">
            <v>TO</v>
          </cell>
          <cell r="I1162" t="str">
            <v>ITALIA</v>
          </cell>
          <cell r="J1162" t="str">
            <v>011-9469126</v>
          </cell>
        </row>
        <row r="1163">
          <cell r="B1163">
            <v>728</v>
          </cell>
          <cell r="C1163" t="str">
            <v>GELDA  S.A.S. DI G. L.GHIRINGHELLI &amp; C.</v>
          </cell>
          <cell r="D1163" t="str">
            <v>02083960126 02083960126</v>
          </cell>
          <cell r="E1163" t="str">
            <v>VIA VINCENZO GIOBERTI, 2</v>
          </cell>
          <cell r="F1163">
            <v>21052</v>
          </cell>
          <cell r="G1163" t="str">
            <v>BUSTO ARSIZIO</v>
          </cell>
          <cell r="H1163" t="str">
            <v>VA</v>
          </cell>
          <cell r="I1163" t="str">
            <v>ITALIA</v>
          </cell>
          <cell r="J1163" t="str">
            <v>0331-320484</v>
          </cell>
        </row>
        <row r="1164">
          <cell r="B1164">
            <v>4437</v>
          </cell>
          <cell r="C1164" t="str">
            <v>GELOCREM S.R.L.</v>
          </cell>
          <cell r="D1164" t="str">
            <v>01325330114 01325330114</v>
          </cell>
          <cell r="E1164" t="str">
            <v>VIA SARZANELLO,</v>
          </cell>
          <cell r="F1164">
            <v>19038</v>
          </cell>
          <cell r="G1164" t="str">
            <v>SARZANA</v>
          </cell>
          <cell r="H1164" t="str">
            <v>SP</v>
          </cell>
          <cell r="I1164" t="str">
            <v>ITALIA</v>
          </cell>
          <cell r="J1164" t="str">
            <v xml:space="preserve">0187-629453 </v>
          </cell>
        </row>
        <row r="1165">
          <cell r="B1165">
            <v>7417</v>
          </cell>
          <cell r="C1165" t="str">
            <v>GEM CAFFE' DI  GIULIANI G. E C.  SNC</v>
          </cell>
          <cell r="D1165" t="str">
            <v>10749560966</v>
          </cell>
          <cell r="E1165" t="str">
            <v>CORSO ITALIA, 19</v>
          </cell>
          <cell r="F1165">
            <v>20865</v>
          </cell>
          <cell r="G1165" t="str">
            <v>USMATE VELATE</v>
          </cell>
          <cell r="H1165" t="str">
            <v>MB</v>
          </cell>
          <cell r="I1165" t="str">
            <v>ITALIA</v>
          </cell>
          <cell r="J1165" t="str">
            <v>340-3898542</v>
          </cell>
        </row>
        <row r="1166">
          <cell r="B1166">
            <v>5529</v>
          </cell>
          <cell r="C1166" t="str">
            <v>GEM SAS DI  MARANGON ERIC &amp;  C.</v>
          </cell>
          <cell r="D1166" t="str">
            <v>08033970016 08033970016</v>
          </cell>
          <cell r="E1166" t="str">
            <v>CORSO TORINO 85/B</v>
          </cell>
          <cell r="F1166">
            <v>10090</v>
          </cell>
          <cell r="G1166" t="str">
            <v>FERRIERA DI  BUTTIGLIERA  ALTA</v>
          </cell>
          <cell r="H1166" t="str">
            <v>TO</v>
          </cell>
          <cell r="I1166" t="str">
            <v>ITALIA</v>
          </cell>
          <cell r="J1166" t="str">
            <v xml:space="preserve">011-9348720 </v>
          </cell>
        </row>
        <row r="1167">
          <cell r="B1167">
            <v>5441</v>
          </cell>
          <cell r="C1167" t="str">
            <v>GEMELLO  ANTONIO</v>
          </cell>
          <cell r="D1167" t="str">
            <v>05262080012 GMLNTN62M31L219 R</v>
          </cell>
          <cell r="E1167" t="str">
            <v>VIA G. MAROCCO, 15</v>
          </cell>
          <cell r="F1167">
            <v>10040</v>
          </cell>
          <cell r="G1167" t="str">
            <v>FRAZ.GERBOLE  RIVALTA</v>
          </cell>
          <cell r="H1167" t="str">
            <v>TO</v>
          </cell>
          <cell r="I1167" t="str">
            <v>ITALIA</v>
          </cell>
          <cell r="J1167" t="str">
            <v>011-9040395</v>
          </cell>
        </row>
        <row r="1168">
          <cell r="B1168">
            <v>5250</v>
          </cell>
          <cell r="C1168" t="str">
            <v>GENERAL FLUID S.A. S. DI RIGAT  STEFANO &amp; C.</v>
          </cell>
          <cell r="D1168" t="str">
            <v>00499150019 00499150019</v>
          </cell>
          <cell r="E1168" t="str">
            <v>VIA G. GOZZANO, 6</v>
          </cell>
          <cell r="F1168">
            <v>10098</v>
          </cell>
          <cell r="G1168" t="str">
            <v>RIVOLI</v>
          </cell>
          <cell r="H1168" t="str">
            <v>TO</v>
          </cell>
          <cell r="I1168" t="str">
            <v>ITALIA</v>
          </cell>
          <cell r="J1168" t="str">
            <v>011-9581133</v>
          </cell>
        </row>
        <row r="1169">
          <cell r="B1169">
            <v>3970</v>
          </cell>
          <cell r="C1169" t="str">
            <v>GENERAL MATIC  SNC  DI PERISSINOTTO  PAOLO &amp; C.</v>
          </cell>
          <cell r="D1169" t="str">
            <v>10504700013 10504700013</v>
          </cell>
          <cell r="E1169" t="str">
            <v>VIA DEL TARIO, 8</v>
          </cell>
          <cell r="F1169">
            <v>10020</v>
          </cell>
          <cell r="G1169" t="str">
            <v>ANDEZENO</v>
          </cell>
          <cell r="H1169" t="str">
            <v>TO</v>
          </cell>
          <cell r="I1169" t="str">
            <v>ITALIA</v>
          </cell>
          <cell r="J1169" t="str">
            <v>011-9470231</v>
          </cell>
        </row>
        <row r="1170">
          <cell r="B1170">
            <v>6453</v>
          </cell>
          <cell r="C1170" t="str">
            <v>GENERAL VENDING  REAL ESTATE SRL</v>
          </cell>
          <cell r="D1170" t="str">
            <v>RO34270475</v>
          </cell>
          <cell r="E1170" t="str">
            <v>STR. AVRAM IANCU NR.  30A</v>
          </cell>
          <cell r="F1170">
            <v>75100</v>
          </cell>
          <cell r="G1170" t="str">
            <v>OTOPENI, JUD.  ILFOV -  ROMANIA -</v>
          </cell>
          <cell r="I1170" t="str">
            <v>ROMANIA</v>
          </cell>
        </row>
        <row r="1171">
          <cell r="B1171">
            <v>8000</v>
          </cell>
          <cell r="C1171" t="str">
            <v>GENERAL VENDING  S.P.A.</v>
          </cell>
          <cell r="D1171" t="str">
            <v>00851930123</v>
          </cell>
          <cell r="E1171" t="str">
            <v>VIA DEI PIANI DI MONTE  SAVELLO, 31/A</v>
          </cell>
          <cell r="F1171">
            <v>41</v>
          </cell>
          <cell r="G1171" t="str">
            <v>ALBANO LAZIALE</v>
          </cell>
          <cell r="H1171" t="str">
            <v>RM</v>
          </cell>
          <cell r="I1171" t="str">
            <v>ITALIA</v>
          </cell>
          <cell r="J1171" t="str">
            <v>06-93721874</v>
          </cell>
        </row>
        <row r="1172">
          <cell r="B1172">
            <v>9000</v>
          </cell>
          <cell r="C1172" t="str">
            <v>GENERAL VENDING  S.P.A.</v>
          </cell>
          <cell r="D1172" t="str">
            <v>00851930123</v>
          </cell>
          <cell r="E1172" t="str">
            <v>VIA AMENDOLA, 23</v>
          </cell>
          <cell r="F1172">
            <v>20037</v>
          </cell>
          <cell r="G1172" t="str">
            <v>PADERNO  DUGNANO</v>
          </cell>
          <cell r="H1172" t="str">
            <v>MI</v>
          </cell>
          <cell r="I1172" t="str">
            <v>ITALIA</v>
          </cell>
          <cell r="J1172" t="str">
            <v>02-99048353</v>
          </cell>
        </row>
        <row r="1173">
          <cell r="B1173">
            <v>10000</v>
          </cell>
          <cell r="C1173" t="str">
            <v>GENERAL VENDING  S.P.A.</v>
          </cell>
          <cell r="D1173" t="str">
            <v>00851930123 00851930123</v>
          </cell>
          <cell r="E1173" t="str">
            <v>VIA IV NOVEMBRE, 102</v>
          </cell>
          <cell r="F1173">
            <v>21058</v>
          </cell>
          <cell r="G1173" t="str">
            <v>SOLBIATE OLONA</v>
          </cell>
          <cell r="H1173" t="str">
            <v>VA</v>
          </cell>
          <cell r="I1173" t="str">
            <v>ITALIA</v>
          </cell>
          <cell r="J1173" t="str">
            <v>0331-378500</v>
          </cell>
        </row>
        <row r="1174">
          <cell r="B1174">
            <v>5000</v>
          </cell>
          <cell r="C1174" t="str">
            <v>GENERAL VENDING  SPA</v>
          </cell>
          <cell r="D1174" t="str">
            <v>00851930123</v>
          </cell>
          <cell r="E1174" t="str">
            <v>VIA NICCOLO' PAGANINI,  8</v>
          </cell>
          <cell r="F1174">
            <v>10036</v>
          </cell>
          <cell r="G1174" t="str">
            <v>SETTIMO  TORINESE</v>
          </cell>
          <cell r="H1174" t="str">
            <v>TO</v>
          </cell>
          <cell r="I1174" t="str">
            <v>ITALIA</v>
          </cell>
          <cell r="J1174" t="str">
            <v>011-2204049</v>
          </cell>
        </row>
        <row r="1175">
          <cell r="B1175">
            <v>6727</v>
          </cell>
          <cell r="C1175" t="str">
            <v>General Vending S.p. A.</v>
          </cell>
          <cell r="D1175" t="str">
            <v>BGTLCU65D23D968 L</v>
          </cell>
          <cell r="E1175" t="str">
            <v>Via IV Novembre 102</v>
          </cell>
          <cell r="F1175">
            <v>21058</v>
          </cell>
          <cell r="G1175" t="str">
            <v>Solbiate Olona</v>
          </cell>
          <cell r="I1175" t="str">
            <v>ITALIA</v>
          </cell>
          <cell r="J1175" t="str">
            <v>331-378508</v>
          </cell>
        </row>
        <row r="1176">
          <cell r="B1176">
            <v>5695</v>
          </cell>
          <cell r="C1176" t="str">
            <v>GENESIO S.A.S. DI  GENESIO LUISA &amp; C.</v>
          </cell>
          <cell r="D1176" t="str">
            <v>02279760041 02279760041</v>
          </cell>
          <cell r="E1176" t="str">
            <v>VIA DELL'ARTIGIANATO,  12</v>
          </cell>
          <cell r="F1176">
            <v>12042</v>
          </cell>
          <cell r="G1176" t="str">
            <v>BRA</v>
          </cell>
          <cell r="H1176" t="str">
            <v>CN</v>
          </cell>
          <cell r="I1176" t="str">
            <v>ITALIA</v>
          </cell>
          <cell r="J1176" t="str">
            <v>0172-422291</v>
          </cell>
        </row>
        <row r="1177">
          <cell r="B1177">
            <v>5963</v>
          </cell>
          <cell r="C1177" t="str">
            <v>GENOTTI  S.R.L.</v>
          </cell>
          <cell r="D1177" t="str">
            <v>07468220012 07468220012</v>
          </cell>
          <cell r="E1177" t="str">
            <v>VIA CIRIE', 4 BIS</v>
          </cell>
          <cell r="F1177">
            <v>10099</v>
          </cell>
          <cell r="G1177" t="str">
            <v>SAN MAURO  TORINESE</v>
          </cell>
          <cell r="H1177" t="str">
            <v>TO</v>
          </cell>
          <cell r="I1177" t="str">
            <v>ITALIA</v>
          </cell>
          <cell r="J1177" t="str">
            <v>011-8222741</v>
          </cell>
        </row>
        <row r="1178">
          <cell r="B1178">
            <v>6031</v>
          </cell>
          <cell r="C1178" t="str">
            <v>GENTA CARLO DI  GENTA CARLO</v>
          </cell>
          <cell r="D1178" t="str">
            <v>07880040014 GNTCRL63M15L219 V</v>
          </cell>
          <cell r="E1178" t="str">
            <v>VIA PAOLO GAIDANO,  103/11</v>
          </cell>
          <cell r="F1178">
            <v>10137</v>
          </cell>
          <cell r="G1178" t="str">
            <v>TORINO</v>
          </cell>
          <cell r="H1178" t="str">
            <v>TO</v>
          </cell>
          <cell r="I1178" t="str">
            <v>ITALIA</v>
          </cell>
          <cell r="J1178" t="str">
            <v xml:space="preserve">011-3119766 </v>
          </cell>
        </row>
        <row r="1179">
          <cell r="B1179">
            <v>4016</v>
          </cell>
          <cell r="C1179" t="str">
            <v>GENTA S.R.L.</v>
          </cell>
          <cell r="D1179" t="str">
            <v>10362120015 10362120015</v>
          </cell>
          <cell r="E1179" t="str">
            <v>STRADA ANTICA DI NONE, 6</v>
          </cell>
          <cell r="F1179">
            <v>10092</v>
          </cell>
          <cell r="G1179" t="str">
            <v>BEINASCO</v>
          </cell>
          <cell r="H1179" t="str">
            <v>TO</v>
          </cell>
          <cell r="I1179" t="str">
            <v>ITALIA</v>
          </cell>
          <cell r="J1179" t="str">
            <v>011-19711095</v>
          </cell>
        </row>
        <row r="1180">
          <cell r="B1180">
            <v>4684</v>
          </cell>
          <cell r="C1180" t="str">
            <v>GENTILE GIOVANNI</v>
          </cell>
          <cell r="D1180" t="str">
            <v>GNTGNN81D09L219 L</v>
          </cell>
          <cell r="E1180" t="str">
            <v>VIA BORGONE, 65</v>
          </cell>
          <cell r="F1180">
            <v>10139</v>
          </cell>
          <cell r="G1180" t="str">
            <v>TORINO</v>
          </cell>
          <cell r="H1180" t="str">
            <v>TO</v>
          </cell>
          <cell r="I1180" t="str">
            <v>ITALIA</v>
          </cell>
          <cell r="J1180" t="str">
            <v>340-7116136</v>
          </cell>
        </row>
        <row r="1181">
          <cell r="B1181">
            <v>6993</v>
          </cell>
          <cell r="C1181" t="str">
            <v>GENTILEZZA  ALESSANDRO</v>
          </cell>
          <cell r="D1181" t="str">
            <v>GNTLSN69B05H501 F</v>
          </cell>
          <cell r="E1181" t="str">
            <v>VIA DELLA MAGNETITE, 20</v>
          </cell>
          <cell r="F1181">
            <v>158</v>
          </cell>
          <cell r="G1181" t="str">
            <v>ROMA</v>
          </cell>
          <cell r="H1181" t="str">
            <v>RM</v>
          </cell>
          <cell r="I1181" t="str">
            <v>ITALIA</v>
          </cell>
          <cell r="J1181" t="str">
            <v>393-9205568</v>
          </cell>
        </row>
        <row r="1182">
          <cell r="B1182">
            <v>6698</v>
          </cell>
          <cell r="C1182" t="str">
            <v>GENTILI MARCO</v>
          </cell>
          <cell r="D1182" t="str">
            <v>02483660995 GNTMRC72H02D969 A</v>
          </cell>
          <cell r="E1182" t="str">
            <v>VIA DIGIONE, 8/18 SC.A</v>
          </cell>
          <cell r="F1182">
            <v>16126</v>
          </cell>
          <cell r="G1182" t="str">
            <v>GENOVA</v>
          </cell>
          <cell r="H1182" t="str">
            <v>GE</v>
          </cell>
          <cell r="I1182" t="str">
            <v>ITALIA</v>
          </cell>
          <cell r="J1182" t="str">
            <v>338-8193108</v>
          </cell>
        </row>
        <row r="1183">
          <cell r="B1183">
            <v>2799</v>
          </cell>
          <cell r="C1183" t="str">
            <v>GEOS ITALY S.R.L.</v>
          </cell>
          <cell r="D1183" t="str">
            <v>09396550015 09396550015</v>
          </cell>
          <cell r="E1183" t="str">
            <v>VIA CIRIE', 40</v>
          </cell>
          <cell r="F1183">
            <v>10099</v>
          </cell>
          <cell r="G1183" t="str">
            <v>SAN MAURO  TORINESE</v>
          </cell>
          <cell r="H1183" t="str">
            <v>TO</v>
          </cell>
          <cell r="I1183" t="str">
            <v>ITALIA</v>
          </cell>
          <cell r="J1183" t="str">
            <v>011-0671379</v>
          </cell>
        </row>
        <row r="1184">
          <cell r="B1184">
            <v>7373</v>
          </cell>
          <cell r="C1184" t="str">
            <v>GERMANETTI  PIERINA</v>
          </cell>
          <cell r="D1184" t="str">
            <v>GRMPRN46E51B015 B</v>
          </cell>
          <cell r="E1184" t="str">
            <v>VIA CERNAIA 13</v>
          </cell>
          <cell r="F1184">
            <v>10016</v>
          </cell>
          <cell r="G1184" t="str">
            <v>MONTALTO DORA</v>
          </cell>
          <cell r="H1184" t="str">
            <v>TO</v>
          </cell>
          <cell r="I1184" t="str">
            <v>ITALIA</v>
          </cell>
          <cell r="J1184" t="str">
            <v>346-3005026</v>
          </cell>
        </row>
        <row r="1185">
          <cell r="B1185">
            <v>6882</v>
          </cell>
          <cell r="C1185" t="str">
            <v>GES SERVICE S.A.S.  DI GHERARDI ELIO &amp; C.</v>
          </cell>
          <cell r="D1185" t="str">
            <v>01775550096 01775550096</v>
          </cell>
          <cell r="E1185" t="str">
            <v>VIA PATRIOTI, 30/1</v>
          </cell>
          <cell r="F1185">
            <v>17031</v>
          </cell>
          <cell r="G1185" t="str">
            <v>ALBENGA</v>
          </cell>
          <cell r="H1185" t="str">
            <v>SV</v>
          </cell>
          <cell r="I1185" t="str">
            <v>ITALIA</v>
          </cell>
          <cell r="J1185" t="str">
            <v>327-5331817</v>
          </cell>
        </row>
        <row r="1186">
          <cell r="B1186">
            <v>4499</v>
          </cell>
          <cell r="C1186" t="str">
            <v>GESTIMPRESA S.A.S. DI FORESTI  GABRIELE &amp; C.</v>
          </cell>
          <cell r="D1186" t="str">
            <v>03709330165 03709330165</v>
          </cell>
          <cell r="E1186" t="str">
            <v>VIA A. FACCANONI, 16</v>
          </cell>
          <cell r="F1186">
            <v>24067</v>
          </cell>
          <cell r="G1186" t="str">
            <v>SARNICO</v>
          </cell>
          <cell r="H1186" t="str">
            <v>BG</v>
          </cell>
          <cell r="I1186" t="str">
            <v>ITALIA</v>
          </cell>
          <cell r="J1186" t="str">
            <v>347-5725177</v>
          </cell>
        </row>
        <row r="1187">
          <cell r="B1187">
            <v>4986</v>
          </cell>
          <cell r="C1187" t="str">
            <v>GHIO CAFFE' DI  GHIO PAOLO &amp; C. S. A.S.</v>
          </cell>
          <cell r="D1187" t="str">
            <v>03688680044 03688680044</v>
          </cell>
          <cell r="E1187" t="str">
            <v>VIA TORINO, 18</v>
          </cell>
          <cell r="F1187">
            <v>12025</v>
          </cell>
          <cell r="G1187" t="str">
            <v>DRONERO</v>
          </cell>
          <cell r="H1187" t="str">
            <v>CN</v>
          </cell>
          <cell r="I1187" t="str">
            <v>ITALIA</v>
          </cell>
          <cell r="J1187" t="str">
            <v>335-7209562</v>
          </cell>
        </row>
        <row r="1188">
          <cell r="B1188">
            <v>7361</v>
          </cell>
          <cell r="C1188" t="str">
            <v>GHISELLINI LUCA</v>
          </cell>
          <cell r="D1188" t="str">
            <v>GHSLCU87E08D548 H</v>
          </cell>
          <cell r="E1188" t="str">
            <v>VIA BASSA 544/2</v>
          </cell>
          <cell r="F1188">
            <v>45024</v>
          </cell>
          <cell r="G1188" t="str">
            <v>FIESSO  UMBERTIANO</v>
          </cell>
          <cell r="H1188" t="str">
            <v>RO</v>
          </cell>
          <cell r="I1188" t="str">
            <v>ITALIA</v>
          </cell>
          <cell r="J1188" t="str">
            <v>349-6360930</v>
          </cell>
        </row>
        <row r="1189">
          <cell r="B1189">
            <v>4410</v>
          </cell>
          <cell r="C1189" t="str">
            <v>GHP MULTIMEDIA DI  GHIGLIA PAOLO</v>
          </cell>
          <cell r="D1189" t="str">
            <v>02775490044 GHGPLA75R25F351 O</v>
          </cell>
          <cell r="E1189" t="str">
            <v>VIA SAN BERNARDO, 1/D</v>
          </cell>
          <cell r="F1189">
            <v>12084</v>
          </cell>
          <cell r="G1189" t="str">
            <v>MONDOVI'</v>
          </cell>
          <cell r="H1189" t="str">
            <v>CN</v>
          </cell>
          <cell r="I1189" t="str">
            <v>ITALIA</v>
          </cell>
          <cell r="J1189" t="str">
            <v>0174-554450</v>
          </cell>
        </row>
        <row r="1190">
          <cell r="B1190">
            <v>7288</v>
          </cell>
          <cell r="C1190" t="str">
            <v>GIACOMETTI  MICHELE</v>
          </cell>
          <cell r="D1190" t="str">
            <v>GCMMHL75A25D488 W</v>
          </cell>
          <cell r="E1190" t="str">
            <v>VIA ROMA 195/A</v>
          </cell>
          <cell r="F1190">
            <v>61032</v>
          </cell>
          <cell r="G1190" t="str">
            <v>FANO</v>
          </cell>
          <cell r="H1190" t="str">
            <v>PU</v>
          </cell>
          <cell r="I1190" t="str">
            <v>ITALIA</v>
          </cell>
          <cell r="J1190" t="str">
            <v>335-1431450</v>
          </cell>
        </row>
        <row r="1191">
          <cell r="B1191">
            <v>4705</v>
          </cell>
          <cell r="C1191" t="str">
            <v>GIACOMO RALLO  DISTRIBUZIONE  AUTOMATICA</v>
          </cell>
          <cell r="D1191" t="str">
            <v>340254821</v>
          </cell>
          <cell r="E1191" t="str">
            <v>VIA NOVELL, 4</v>
          </cell>
          <cell r="F1191">
            <v>6967</v>
          </cell>
          <cell r="G1191" t="str">
            <v>DINO-SONVICO   - SVIZZERA -</v>
          </cell>
          <cell r="I1191" t="str">
            <v>SVIZZERA</v>
          </cell>
          <cell r="J1191" t="str">
            <v>0041- 793146901</v>
          </cell>
        </row>
        <row r="1192">
          <cell r="B1192">
            <v>7357</v>
          </cell>
          <cell r="C1192" t="str">
            <v>GIADA  MARIACRISTINA</v>
          </cell>
          <cell r="D1192" t="str">
            <v>GDIMCR60M68L736 T</v>
          </cell>
          <cell r="E1192" t="str">
            <v>STRADA DEL FORTE 4</v>
          </cell>
          <cell r="F1192">
            <v>30126</v>
          </cell>
          <cell r="G1192" t="str">
            <v>MALAMOCCO</v>
          </cell>
          <cell r="H1192" t="str">
            <v>VE</v>
          </cell>
          <cell r="I1192" t="str">
            <v>ITALIA</v>
          </cell>
          <cell r="J1192" t="str">
            <v>349-4996646</v>
          </cell>
        </row>
        <row r="1193">
          <cell r="B1193">
            <v>4820</v>
          </cell>
          <cell r="C1193" t="str">
            <v>GIADA S.N.C.</v>
          </cell>
          <cell r="D1193" t="str">
            <v>09859840010 09859840010</v>
          </cell>
          <cell r="E1193" t="str">
            <v>VIA ROMA, 26/4</v>
          </cell>
          <cell r="F1193">
            <v>10040</v>
          </cell>
          <cell r="G1193" t="str">
            <v>DRUENTO</v>
          </cell>
          <cell r="H1193" t="str">
            <v>TO</v>
          </cell>
          <cell r="I1193" t="str">
            <v>ITALIA</v>
          </cell>
          <cell r="J1193" t="str">
            <v>347-1892417</v>
          </cell>
        </row>
        <row r="1194">
          <cell r="B1194">
            <v>1573</v>
          </cell>
          <cell r="C1194" t="str">
            <v>GIANCAFFE' DI  GIANCARLO FAEDDA</v>
          </cell>
          <cell r="D1194" t="str">
            <v>03879590101 FDDGCR70L29D969 Q</v>
          </cell>
          <cell r="E1194" t="str">
            <v>VIA MARIO ROMAGNOLI,  6/10 SCALA B</v>
          </cell>
          <cell r="F1194">
            <v>16144</v>
          </cell>
          <cell r="G1194" t="str">
            <v>GENOVA</v>
          </cell>
          <cell r="H1194" t="str">
            <v>GE</v>
          </cell>
          <cell r="I1194" t="str">
            <v>ITALIA</v>
          </cell>
          <cell r="J1194" t="str">
            <v>010-0986565</v>
          </cell>
        </row>
        <row r="1195">
          <cell r="B1195">
            <v>5119</v>
          </cell>
          <cell r="C1195" t="str">
            <v>GIANELLO CESARE</v>
          </cell>
          <cell r="D1195" t="str">
            <v>00278450010 GNLCRN42T27L691 E</v>
          </cell>
          <cell r="E1195" t="str">
            <v>VIA VALPERGA, 35</v>
          </cell>
          <cell r="F1195">
            <v>10080</v>
          </cell>
          <cell r="G1195" t="str">
            <v>SALASSA</v>
          </cell>
          <cell r="H1195" t="str">
            <v>TO</v>
          </cell>
          <cell r="I1195" t="str">
            <v>ITALIA</v>
          </cell>
          <cell r="J1195" t="str">
            <v xml:space="preserve">0124-36157 </v>
          </cell>
        </row>
        <row r="1196">
          <cell r="B1196">
            <v>4541</v>
          </cell>
          <cell r="C1196" t="str">
            <v>GIANMIKE S.A.S. DI  NE MAURO &amp; C.</v>
          </cell>
          <cell r="D1196" t="str">
            <v>06562710969 06562710969</v>
          </cell>
          <cell r="E1196" t="str">
            <v>VIALE UMBRIA, 4</v>
          </cell>
          <cell r="F1196">
            <v>20100</v>
          </cell>
          <cell r="G1196" t="str">
            <v>MILANO</v>
          </cell>
          <cell r="H1196" t="str">
            <v>MI</v>
          </cell>
          <cell r="I1196" t="str">
            <v>ITALIA</v>
          </cell>
          <cell r="J1196" t="str">
            <v>338-7199153</v>
          </cell>
        </row>
        <row r="1197">
          <cell r="B1197">
            <v>6632</v>
          </cell>
          <cell r="C1197" t="str">
            <v>GIANT POWER S.R.L.</v>
          </cell>
          <cell r="D1197" t="str">
            <v>02645270592</v>
          </cell>
          <cell r="E1197" t="str">
            <v>VIA DELLA FRATELLANZA,  8</v>
          </cell>
          <cell r="F1197">
            <v>21049</v>
          </cell>
          <cell r="G1197" t="str">
            <v>TRADATE</v>
          </cell>
          <cell r="H1197" t="str">
            <v>VA</v>
          </cell>
          <cell r="I1197" t="str">
            <v>ITALIA</v>
          </cell>
          <cell r="J1197" t="str">
            <v xml:space="preserve">0331-852594 </v>
          </cell>
        </row>
        <row r="1198">
          <cell r="B1198">
            <v>7317</v>
          </cell>
          <cell r="C1198" t="str">
            <v>GIARETTI RENATO</v>
          </cell>
          <cell r="D1198" t="str">
            <v>GRTRNT58E12L219 U</v>
          </cell>
          <cell r="E1198" t="str">
            <v>VIA MAROCCHI 45</v>
          </cell>
          <cell r="F1198">
            <v>10046</v>
          </cell>
          <cell r="G1198" t="str">
            <v>POIRINO</v>
          </cell>
          <cell r="H1198" t="str">
            <v>TO</v>
          </cell>
          <cell r="I1198" t="str">
            <v>ITALIA</v>
          </cell>
          <cell r="J1198" t="str">
            <v>327-1647000</v>
          </cell>
        </row>
        <row r="1199">
          <cell r="B1199">
            <v>7442</v>
          </cell>
          <cell r="C1199" t="str">
            <v>GIATTI SARA</v>
          </cell>
          <cell r="D1199" t="str">
            <v>GTTSRA86S46G916 R</v>
          </cell>
          <cell r="E1199" t="str">
            <v>VIA MARIA MAJOCCHI  PLATTIS, 44</v>
          </cell>
          <cell r="F1199">
            <v>44124</v>
          </cell>
          <cell r="G1199" t="str">
            <v>FERRARA</v>
          </cell>
          <cell r="H1199" t="str">
            <v>FE</v>
          </cell>
          <cell r="I1199" t="str">
            <v>ITALIA</v>
          </cell>
          <cell r="J1199" t="str">
            <v>328-6635200</v>
          </cell>
        </row>
        <row r="1200">
          <cell r="B1200">
            <v>3884</v>
          </cell>
          <cell r="C1200" t="str">
            <v>GIBBY S.A.S. DI  MAGLIO FEDERICA</v>
          </cell>
          <cell r="D1200" t="str">
            <v>07121570969 07121570969</v>
          </cell>
          <cell r="E1200" t="str">
            <v>VIA MATTEOTTI, 8</v>
          </cell>
          <cell r="F1200">
            <v>20095</v>
          </cell>
          <cell r="G1200" t="str">
            <v>CUSANO  MILANINO</v>
          </cell>
          <cell r="H1200" t="str">
            <v>MI</v>
          </cell>
          <cell r="I1200" t="str">
            <v>ITALIA</v>
          </cell>
          <cell r="J1200" t="str">
            <v>347-8260286</v>
          </cell>
        </row>
        <row r="1201">
          <cell r="B1201">
            <v>4851</v>
          </cell>
          <cell r="C1201" t="str">
            <v>GIFIL S.R.L.</v>
          </cell>
          <cell r="D1201" t="str">
            <v>01904560032 01904560032</v>
          </cell>
          <cell r="E1201" t="str">
            <v>VIA SANTAMARIA, 1</v>
          </cell>
          <cell r="F1201">
            <v>28883</v>
          </cell>
          <cell r="G1201" t="str">
            <v>GRAVELLONA  TOCE</v>
          </cell>
          <cell r="H1201" t="str">
            <v>VB</v>
          </cell>
          <cell r="I1201" t="str">
            <v>ITALIA</v>
          </cell>
          <cell r="J1201" t="str">
            <v>347-2643623</v>
          </cell>
        </row>
        <row r="1202">
          <cell r="B1202">
            <v>5461</v>
          </cell>
          <cell r="C1202" t="str">
            <v>GILBER S.R.L.</v>
          </cell>
          <cell r="D1202" t="str">
            <v>06540990014</v>
          </cell>
          <cell r="E1202" t="str">
            <v>VIA CAVAGNOLO, 18</v>
          </cell>
          <cell r="F1202">
            <v>10156</v>
          </cell>
          <cell r="G1202" t="str">
            <v>TORINO</v>
          </cell>
          <cell r="H1202" t="str">
            <v>TO</v>
          </cell>
          <cell r="I1202" t="str">
            <v>ITALIA</v>
          </cell>
          <cell r="J1202" t="str">
            <v>011-2621387</v>
          </cell>
        </row>
        <row r="1203">
          <cell r="B1203">
            <v>4982</v>
          </cell>
          <cell r="C1203" t="str">
            <v>GINEPROUNO  SOCIETA' COOP.  SOCIALE</v>
          </cell>
          <cell r="D1203" t="str">
            <v>06966940014</v>
          </cell>
          <cell r="E1203" t="str">
            <v>VIA PINELLI, 22/C</v>
          </cell>
          <cell r="F1203">
            <v>10144</v>
          </cell>
          <cell r="G1203" t="str">
            <v>TORINO</v>
          </cell>
          <cell r="H1203" t="str">
            <v>TO</v>
          </cell>
          <cell r="I1203" t="str">
            <v>ITALIA</v>
          </cell>
          <cell r="J1203" t="str">
            <v xml:space="preserve">011-4814127 </v>
          </cell>
        </row>
        <row r="1204">
          <cell r="B1204">
            <v>4727</v>
          </cell>
          <cell r="C1204" t="str">
            <v>GINNIC LIFE S.S.D. - S.R.L.</v>
          </cell>
          <cell r="D1204" t="str">
            <v>11350190010 11350190010</v>
          </cell>
          <cell r="E1204" t="str">
            <v>VIALE REGINA ELENA, 35</v>
          </cell>
          <cell r="F1204">
            <v>10094</v>
          </cell>
          <cell r="G1204" t="str">
            <v>GIAVENO</v>
          </cell>
          <cell r="H1204" t="str">
            <v>TO</v>
          </cell>
          <cell r="I1204" t="str">
            <v>ITALIA</v>
          </cell>
          <cell r="J1204" t="str">
            <v>333-1511444</v>
          </cell>
        </row>
        <row r="1205">
          <cell r="B1205">
            <v>4251</v>
          </cell>
          <cell r="C1205" t="str">
            <v>GIO' PRODUCTION  DI GIORDANO LUCA  MICHELE</v>
          </cell>
          <cell r="D1205" t="str">
            <v>01315480119 01315480119</v>
          </cell>
          <cell r="E1205" t="str">
            <v>VIA LIGURIA, 7</v>
          </cell>
          <cell r="F1205">
            <v>19126</v>
          </cell>
          <cell r="G1205" t="str">
            <v>LA SPEZIA</v>
          </cell>
          <cell r="H1205" t="str">
            <v>SP</v>
          </cell>
          <cell r="I1205" t="str">
            <v>ITALIA</v>
          </cell>
          <cell r="J1205" t="str">
            <v>348-8832647</v>
          </cell>
        </row>
        <row r="1206">
          <cell r="B1206">
            <v>6755</v>
          </cell>
          <cell r="C1206" t="str">
            <v>GIORDANA  GIUSEPPE</v>
          </cell>
          <cell r="D1206" t="str">
            <v>02725830042 GRDGPP52P09B720 T</v>
          </cell>
          <cell r="E1206" t="str">
            <v>STRADA SOMMARIVA, 13</v>
          </cell>
          <cell r="F1206">
            <v>12030</v>
          </cell>
          <cell r="G1206" t="str">
            <v>CARAMAGNA  PIEMONTE</v>
          </cell>
          <cell r="H1206" t="str">
            <v>CN</v>
          </cell>
          <cell r="I1206" t="str">
            <v>ITALIA</v>
          </cell>
        </row>
        <row r="1207">
          <cell r="B1207">
            <v>4678</v>
          </cell>
          <cell r="C1207" t="str">
            <v>GIORDANO ROSARIO</v>
          </cell>
          <cell r="D1207" t="str">
            <v>09074020018 09074020018</v>
          </cell>
          <cell r="E1207" t="str">
            <v>CORSO FRANCIA, 276</v>
          </cell>
          <cell r="F1207">
            <v>10093</v>
          </cell>
          <cell r="G1207" t="str">
            <v>COLLEGNO</v>
          </cell>
          <cell r="H1207" t="str">
            <v>TO</v>
          </cell>
          <cell r="I1207" t="str">
            <v>ITALIA</v>
          </cell>
        </row>
        <row r="1208">
          <cell r="B1208">
            <v>7123</v>
          </cell>
          <cell r="C1208" t="str">
            <v>GIORGI PAMELA</v>
          </cell>
          <cell r="D1208" t="str">
            <v>GRGPML85T60L219 S</v>
          </cell>
          <cell r="E1208" t="str">
            <v>VIA MONTELLO 15</v>
          </cell>
          <cell r="F1208">
            <v>10092</v>
          </cell>
          <cell r="G1208" t="str">
            <v>BEINASCO</v>
          </cell>
          <cell r="H1208" t="str">
            <v>TO</v>
          </cell>
          <cell r="I1208" t="str">
            <v>ITALIA</v>
          </cell>
          <cell r="J1208" t="str">
            <v>349-5640795</v>
          </cell>
        </row>
        <row r="1209">
          <cell r="B1209">
            <v>1254</v>
          </cell>
          <cell r="C1209" t="str">
            <v>GIORGI S.A.S. DI  GRAZIELLA GIORGI  &amp; C.</v>
          </cell>
          <cell r="D1209" t="str">
            <v>01286130032 01286130032</v>
          </cell>
          <cell r="E1209" t="str">
            <v>VIA ISONZO, 1</v>
          </cell>
          <cell r="F1209">
            <v>28069</v>
          </cell>
          <cell r="G1209" t="str">
            <v>TRECATE</v>
          </cell>
          <cell r="H1209" t="str">
            <v>NO</v>
          </cell>
          <cell r="I1209" t="str">
            <v>ITALIA</v>
          </cell>
          <cell r="J1209" t="str">
            <v>0321-71755</v>
          </cell>
        </row>
        <row r="1210">
          <cell r="B1210">
            <v>1283</v>
          </cell>
          <cell r="C1210" t="str">
            <v>GIOVANNI CLERICI  &amp; FIGLI S.P.A</v>
          </cell>
          <cell r="D1210" t="str">
            <v>00212470124 00212470124</v>
          </cell>
          <cell r="E1210" t="str">
            <v>VIALE MILANO, 22</v>
          </cell>
          <cell r="F1210">
            <v>21013</v>
          </cell>
          <cell r="G1210" t="str">
            <v>GALLARATE</v>
          </cell>
          <cell r="H1210" t="str">
            <v>VA</v>
          </cell>
          <cell r="I1210" t="str">
            <v>ITALIA</v>
          </cell>
          <cell r="J1210" t="str">
            <v>0331-793031</v>
          </cell>
        </row>
        <row r="1211">
          <cell r="B1211">
            <v>6985</v>
          </cell>
          <cell r="C1211" t="str">
            <v>GIUFFRIDA OSCAR</v>
          </cell>
          <cell r="D1211" t="str">
            <v>GFFSRV82S05C351 K</v>
          </cell>
          <cell r="E1211" t="str">
            <v>VIA VITTORIO EMANUELE,  136</v>
          </cell>
          <cell r="F1211">
            <v>74012</v>
          </cell>
          <cell r="G1211" t="str">
            <v>CRISPIANO</v>
          </cell>
          <cell r="H1211" t="str">
            <v>TA</v>
          </cell>
          <cell r="I1211" t="str">
            <v>ITALIA</v>
          </cell>
          <cell r="J1211" t="str">
            <v>347-8654882</v>
          </cell>
        </row>
        <row r="1212">
          <cell r="B1212">
            <v>7366</v>
          </cell>
          <cell r="C1212" t="str">
            <v>GIULI' SANDRO</v>
          </cell>
          <cell r="D1212" t="str">
            <v>GLISDR66T01C773 Z</v>
          </cell>
          <cell r="E1212" t="str">
            <v>PIAZZA AURELIO SAFFI, 7</v>
          </cell>
          <cell r="F1212">
            <v>53</v>
          </cell>
          <cell r="G1212" t="str">
            <v>CIVITAVECCHIA</v>
          </cell>
          <cell r="H1212" t="str">
            <v>RM</v>
          </cell>
          <cell r="I1212" t="str">
            <v>ITALIA</v>
          </cell>
          <cell r="J1212" t="str">
            <v>327-7163090</v>
          </cell>
        </row>
        <row r="1213">
          <cell r="B1213">
            <v>7481</v>
          </cell>
          <cell r="C1213" t="str">
            <v>GIULIACCI GIORGIO</v>
          </cell>
          <cell r="D1213" t="str">
            <v>GLCGRG64L11C662 Z</v>
          </cell>
          <cell r="E1213" t="str">
            <v>VIA ALCIDE DE GASPERI 5</v>
          </cell>
          <cell r="F1213">
            <v>53040</v>
          </cell>
          <cell r="G1213" t="str">
            <v>RADICOFANI</v>
          </cell>
          <cell r="H1213" t="str">
            <v>SI</v>
          </cell>
          <cell r="I1213" t="str">
            <v>ITALIA</v>
          </cell>
          <cell r="J1213" t="str">
            <v>335-8317441</v>
          </cell>
        </row>
        <row r="1214">
          <cell r="B1214">
            <v>7471</v>
          </cell>
          <cell r="C1214" t="str">
            <v>GIULIANI ANGELO</v>
          </cell>
          <cell r="D1214" t="str">
            <v>GLNNGL48M09G772 U</v>
          </cell>
          <cell r="E1214" t="str">
            <v>VIA ADIGE 39/21</v>
          </cell>
          <cell r="F1214">
            <v>20045</v>
          </cell>
          <cell r="G1214" t="str">
            <v>LAINATE</v>
          </cell>
          <cell r="H1214" t="str">
            <v>MI</v>
          </cell>
          <cell r="I1214" t="str">
            <v>ITALIA</v>
          </cell>
          <cell r="J1214" t="str">
            <v>342-0517628</v>
          </cell>
        </row>
        <row r="1215">
          <cell r="B1215">
            <v>3342</v>
          </cell>
          <cell r="C1215" t="str">
            <v>GIULIANINI DI  GIULIANINI DAVIDE  &amp; C. S.N.C.</v>
          </cell>
          <cell r="D1215" t="str">
            <v>03054920123 03054920123</v>
          </cell>
          <cell r="E1215" t="str">
            <v>VIA REDIPUGLIA, 2</v>
          </cell>
          <cell r="F1215">
            <v>21052</v>
          </cell>
          <cell r="G1215" t="str">
            <v>BUSTO ARSIZIO</v>
          </cell>
          <cell r="H1215" t="str">
            <v>VA</v>
          </cell>
          <cell r="I1215" t="str">
            <v>ITALIA</v>
          </cell>
          <cell r="J1215" t="str">
            <v xml:space="preserve">0331-322017 </v>
          </cell>
        </row>
        <row r="1216">
          <cell r="B1216">
            <v>6149</v>
          </cell>
          <cell r="C1216" t="str">
            <v>GIULIANO CAFFE' S. R.L.</v>
          </cell>
          <cell r="D1216" t="str">
            <v>07941480019 07941480019</v>
          </cell>
          <cell r="E1216" t="str">
            <v>VIA VITTORIO VENETO,  140</v>
          </cell>
          <cell r="F1216">
            <v>10014</v>
          </cell>
          <cell r="G1216" t="str">
            <v>CALUSO</v>
          </cell>
          <cell r="H1216" t="str">
            <v>TO</v>
          </cell>
          <cell r="I1216" t="str">
            <v>ITALIA</v>
          </cell>
          <cell r="J1216" t="str">
            <v>011-9833150</v>
          </cell>
        </row>
        <row r="1217">
          <cell r="B1217">
            <v>7737</v>
          </cell>
          <cell r="C1217" t="str">
            <v>GIUMARRA SALVATORE</v>
          </cell>
          <cell r="E1217" t="str">
            <v>VIA G. GOZZANO, 5</v>
          </cell>
          <cell r="F1217">
            <v>97100</v>
          </cell>
          <cell r="G1217" t="str">
            <v>RAGUSA</v>
          </cell>
          <cell r="H1217" t="str">
            <v>RG</v>
          </cell>
          <cell r="I1217" t="str">
            <v>ITALIA</v>
          </cell>
        </row>
        <row r="1218">
          <cell r="B1218">
            <v>6668</v>
          </cell>
          <cell r="C1218" t="str">
            <v>GIUNCHI GIULIO  CESARE</v>
          </cell>
          <cell r="D1218" t="str">
            <v>GNCGCS42B28C23 1A</v>
          </cell>
          <cell r="E1218" t="str">
            <v>CASCINA FOLLAZZA, snc</v>
          </cell>
          <cell r="F1218">
            <v>20098</v>
          </cell>
          <cell r="G1218" t="str">
            <v>SAN GIULIANO  MILANESE</v>
          </cell>
          <cell r="H1218" t="str">
            <v>MI</v>
          </cell>
          <cell r="I1218" t="str">
            <v>ITALIA</v>
          </cell>
          <cell r="J1218" t="str">
            <v>338-1226114</v>
          </cell>
        </row>
        <row r="1219">
          <cell r="B1219">
            <v>3633</v>
          </cell>
          <cell r="C1219" t="str">
            <v>GIUSTI FEDERICO</v>
          </cell>
          <cell r="D1219" t="str">
            <v>08138670016 GSTFRC72T04L219 M</v>
          </cell>
          <cell r="E1219" t="str">
            <v>VIA G. CASALIS, 71</v>
          </cell>
          <cell r="F1219">
            <v>10138</v>
          </cell>
          <cell r="G1219" t="str">
            <v>TORINO</v>
          </cell>
          <cell r="H1219" t="str">
            <v>TO</v>
          </cell>
          <cell r="I1219" t="str">
            <v>ITALIA</v>
          </cell>
          <cell r="J1219" t="str">
            <v>348-4227299</v>
          </cell>
        </row>
        <row r="1220">
          <cell r="B1220">
            <v>4454</v>
          </cell>
          <cell r="C1220" t="str">
            <v>GLAMOUR DI  CARAVAN BIANCA  MARIA</v>
          </cell>
          <cell r="D1220" t="str">
            <v>11024730019 CRVBCM92R69Z129 A</v>
          </cell>
          <cell r="E1220" t="str">
            <v>VIA LUSERNA DI RORA',  15/D</v>
          </cell>
          <cell r="F1220">
            <v>10139</v>
          </cell>
          <cell r="G1220" t="str">
            <v>TORINO</v>
          </cell>
          <cell r="H1220" t="str">
            <v>TO</v>
          </cell>
          <cell r="I1220" t="str">
            <v>ITALIA</v>
          </cell>
          <cell r="J1220" t="str">
            <v xml:space="preserve">366-2449365 </v>
          </cell>
        </row>
        <row r="1221">
          <cell r="B1221">
            <v>6904</v>
          </cell>
          <cell r="C1221" t="str">
            <v>GLORIA 2002 EOOD</v>
          </cell>
          <cell r="D1221" t="str">
            <v>101617750</v>
          </cell>
          <cell r="E1221" t="str">
            <v>VIA HR. SILIANOV, 36</v>
          </cell>
          <cell r="F1221">
            <v>2900</v>
          </cell>
          <cell r="G1221" t="str">
            <v>GOZE DELCHEV - BULGARIA</v>
          </cell>
          <cell r="I1221" t="str">
            <v>BULGARIA</v>
          </cell>
          <cell r="J1221" t="str">
            <v>328-0176170</v>
          </cell>
        </row>
        <row r="1222">
          <cell r="B1222">
            <v>6926</v>
          </cell>
          <cell r="C1222" t="str">
            <v>GLS ENTERPRISE  SRL</v>
          </cell>
          <cell r="D1222" t="str">
            <v>04102770965 04102770965</v>
          </cell>
          <cell r="E1222" t="str">
            <v>VIA BASENTO, 19</v>
          </cell>
          <cell r="F1222">
            <v>20098</v>
          </cell>
          <cell r="G1222" t="str">
            <v>SAN GIULIANO  MILANESE</v>
          </cell>
          <cell r="H1222" t="str">
            <v>MI</v>
          </cell>
          <cell r="I1222" t="str">
            <v>ITALIA</v>
          </cell>
        </row>
        <row r="1223">
          <cell r="B1223">
            <v>6701</v>
          </cell>
          <cell r="C1223" t="str">
            <v>GM SERVICE S.R.L.S.</v>
          </cell>
          <cell r="D1223" t="str">
            <v>09598660968 09598660968</v>
          </cell>
          <cell r="E1223" t="str">
            <v>VIA DEI PIOPPI, 8/10</v>
          </cell>
          <cell r="F1223">
            <v>20020</v>
          </cell>
          <cell r="G1223" t="str">
            <v>ARCONATE</v>
          </cell>
          <cell r="H1223" t="str">
            <v>MI</v>
          </cell>
          <cell r="I1223" t="str">
            <v>ITALIA</v>
          </cell>
          <cell r="J1223" t="str">
            <v xml:space="preserve">345-9436565 </v>
          </cell>
        </row>
        <row r="1224">
          <cell r="B1224">
            <v>6517</v>
          </cell>
          <cell r="C1224" t="str">
            <v>GM.G  DISTRIBUZIONE DI  GORIA GIANMICHELE</v>
          </cell>
          <cell r="D1224" t="str">
            <v>01634810053 GROGMC72C03L21 9I</v>
          </cell>
          <cell r="E1224" t="str">
            <v>STRADA SERRA GORIA, 46</v>
          </cell>
          <cell r="F1224">
            <v>14018</v>
          </cell>
          <cell r="G1224" t="str">
            <v>MARETTO</v>
          </cell>
          <cell r="H1224" t="str">
            <v>AT</v>
          </cell>
          <cell r="I1224" t="str">
            <v>ITALIA</v>
          </cell>
          <cell r="J1224" t="str">
            <v>333-9431234</v>
          </cell>
        </row>
        <row r="1225">
          <cell r="B1225">
            <v>7454</v>
          </cell>
          <cell r="C1225" t="str">
            <v>GNAM GNAM DI  ALESSANDRO  PAGANINI</v>
          </cell>
          <cell r="D1225" t="str">
            <v>09163670962</v>
          </cell>
          <cell r="E1225" t="str">
            <v>CORSO SAN PIETRO, 22</v>
          </cell>
          <cell r="F1225">
            <v>20081</v>
          </cell>
          <cell r="G1225" t="str">
            <v>ABBIATEGRASSO</v>
          </cell>
          <cell r="H1225" t="str">
            <v>MI</v>
          </cell>
          <cell r="I1225" t="str">
            <v>ITALIA</v>
          </cell>
          <cell r="J1225" t="str">
            <v>346-3252681</v>
          </cell>
        </row>
        <row r="1226">
          <cell r="B1226">
            <v>5126</v>
          </cell>
          <cell r="C1226" t="str">
            <v>GNAVI  S.N.C. DI  ACTIS FOGLIZZO  MARTA</v>
          </cell>
          <cell r="D1226" t="str">
            <v>06236040017 06236040017</v>
          </cell>
          <cell r="E1226" t="str">
            <v>VIA MARTIRI D'ITALIA,  117/119</v>
          </cell>
          <cell r="F1226">
            <v>10014</v>
          </cell>
          <cell r="G1226" t="str">
            <v>CALUSO</v>
          </cell>
          <cell r="H1226" t="str">
            <v>TO</v>
          </cell>
          <cell r="I1226" t="str">
            <v>ITALIA</v>
          </cell>
          <cell r="J1226" t="str">
            <v>347-9407257</v>
          </cell>
        </row>
        <row r="1227">
          <cell r="B1227">
            <v>7308</v>
          </cell>
          <cell r="C1227" t="str">
            <v>GNOFFO VINCENZO  SALVATORE</v>
          </cell>
          <cell r="D1227" t="str">
            <v>GNFVCN79R06A089 D</v>
          </cell>
          <cell r="E1227" t="str">
            <v>VIA GHIARETTOLO, 101</v>
          </cell>
          <cell r="F1227">
            <v>19038</v>
          </cell>
          <cell r="G1227" t="str">
            <v>SARZANA</v>
          </cell>
          <cell r="H1227" t="str">
            <v>SP</v>
          </cell>
          <cell r="I1227" t="str">
            <v>ITALIA</v>
          </cell>
          <cell r="J1227" t="str">
            <v>320-7645928</v>
          </cell>
        </row>
        <row r="1228">
          <cell r="B1228">
            <v>6995</v>
          </cell>
          <cell r="C1228" t="str">
            <v>GOFFI PAOLO</v>
          </cell>
          <cell r="D1228" t="str">
            <v>GFFPLA62T07D773E</v>
          </cell>
          <cell r="E1228" t="str">
            <v>VIA GROTTE DELLO  STINCO, 46</v>
          </cell>
          <cell r="F1228">
            <v>44</v>
          </cell>
          <cell r="G1228" t="str">
            <v>FRASCATI</v>
          </cell>
          <cell r="H1228" t="str">
            <v>RM</v>
          </cell>
          <cell r="I1228" t="str">
            <v>ITALIA</v>
          </cell>
          <cell r="J1228" t="str">
            <v>347-5157055</v>
          </cell>
        </row>
        <row r="1229">
          <cell r="B1229">
            <v>6702</v>
          </cell>
          <cell r="C1229" t="str">
            <v>GOJI S.R.L.</v>
          </cell>
          <cell r="D1229" t="str">
            <v>11271650019 11271650019</v>
          </cell>
          <cell r="E1229" t="str">
            <v>CORSO FRANCIA, 131</v>
          </cell>
          <cell r="F1229">
            <v>10100</v>
          </cell>
          <cell r="G1229" t="str">
            <v>TORINO</v>
          </cell>
          <cell r="H1229" t="str">
            <v>TO</v>
          </cell>
          <cell r="I1229" t="str">
            <v>ITALIA</v>
          </cell>
          <cell r="J1229" t="str">
            <v>392-4188882</v>
          </cell>
        </row>
        <row r="1230">
          <cell r="B1230">
            <v>4765</v>
          </cell>
          <cell r="C1230" t="str">
            <v>GOLDEN SLOT S.R.L.</v>
          </cell>
          <cell r="D1230" t="str">
            <v>06628940964 06628940964</v>
          </cell>
          <cell r="E1230" t="str">
            <v>VIA VITTORIO VENETO, 4</v>
          </cell>
          <cell r="F1230">
            <v>20018</v>
          </cell>
          <cell r="G1230" t="str">
            <v>SEDRIANO</v>
          </cell>
          <cell r="H1230" t="str">
            <v>MI</v>
          </cell>
          <cell r="I1230" t="str">
            <v>ITALIA</v>
          </cell>
          <cell r="J1230" t="str">
            <v>342-9713381</v>
          </cell>
        </row>
        <row r="1231">
          <cell r="B1231">
            <v>4107</v>
          </cell>
          <cell r="C1231" t="str">
            <v>GOLFO DEL  TIGULLIO  COOPERATIVA  SOCIALE A.R.L.</v>
          </cell>
          <cell r="D1231" t="str">
            <v>00181180993 02280550100</v>
          </cell>
          <cell r="E1231" t="str">
            <v>VIA DEI LERTORA, 41</v>
          </cell>
          <cell r="F1231">
            <v>16043</v>
          </cell>
          <cell r="G1231" t="str">
            <v>CHIAVARI</v>
          </cell>
          <cell r="H1231" t="str">
            <v>GE</v>
          </cell>
          <cell r="I1231" t="str">
            <v>ITALIA</v>
          </cell>
          <cell r="J1231" t="str">
            <v>0185-385073</v>
          </cell>
        </row>
        <row r="1232">
          <cell r="B1232">
            <v>958</v>
          </cell>
          <cell r="C1232" t="str">
            <v>GONDOLO  PALMIRO</v>
          </cell>
          <cell r="D1232" t="str">
            <v>00452120041 GNDPMR48C21D20 5A</v>
          </cell>
          <cell r="E1232" t="str">
            <v>VIA S.CROCE, 28</v>
          </cell>
          <cell r="F1232">
            <v>12010</v>
          </cell>
          <cell r="G1232" t="str">
            <v>VIGNOLO</v>
          </cell>
          <cell r="H1232" t="str">
            <v>CN</v>
          </cell>
          <cell r="I1232" t="str">
            <v>ITALIA</v>
          </cell>
          <cell r="J1232" t="str">
            <v>0171-46177</v>
          </cell>
        </row>
        <row r="1233">
          <cell r="B1233">
            <v>4711</v>
          </cell>
          <cell r="C1233" t="str">
            <v>GONDOLO DI RE  DIEGO</v>
          </cell>
          <cell r="D1233" t="str">
            <v>03613650047 REXDGI72L17D205 V</v>
          </cell>
          <cell r="E1233" t="str">
            <v>VIA VALLE MAIRA, 109</v>
          </cell>
          <cell r="F1233">
            <v>12100</v>
          </cell>
          <cell r="G1233" t="str">
            <v>CUNEO</v>
          </cell>
          <cell r="H1233" t="str">
            <v>CN</v>
          </cell>
          <cell r="I1233" t="str">
            <v>ITALIA</v>
          </cell>
          <cell r="J1233" t="str">
            <v>335-7758541</v>
          </cell>
        </row>
        <row r="1234">
          <cell r="B1234">
            <v>4890</v>
          </cell>
          <cell r="C1234" t="str">
            <v>GOOD COFFEE DI  MANES ALESSIA</v>
          </cell>
          <cell r="D1234" t="str">
            <v>02625950189 MNSLSS97B68L872 X</v>
          </cell>
          <cell r="E1234" t="str">
            <v>VIA GARIBALDI, 7</v>
          </cell>
          <cell r="F1234">
            <v>27023</v>
          </cell>
          <cell r="G1234" t="str">
            <v>CASSOLNOVO</v>
          </cell>
          <cell r="H1234" t="str">
            <v>PV</v>
          </cell>
          <cell r="I1234" t="str">
            <v>ITALIA</v>
          </cell>
          <cell r="J1234" t="str">
            <v>339-8806371</v>
          </cell>
        </row>
        <row r="1235">
          <cell r="B1235">
            <v>3576</v>
          </cell>
          <cell r="C1235" t="str">
            <v>GORLA  MORSETTERIE S.R.L.</v>
          </cell>
          <cell r="D1235" t="str">
            <v>00259340156 00259340156</v>
          </cell>
          <cell r="E1235" t="str">
            <v>VIA FRATELLI DI DIO,  27/29</v>
          </cell>
          <cell r="F1235">
            <v>20026</v>
          </cell>
          <cell r="G1235" t="str">
            <v>NOVATE  MILANESE</v>
          </cell>
          <cell r="H1235" t="str">
            <v>MI</v>
          </cell>
          <cell r="I1235" t="str">
            <v>ITALIA</v>
          </cell>
          <cell r="J1235" t="str">
            <v>02-38204273</v>
          </cell>
        </row>
        <row r="1236">
          <cell r="B1236">
            <v>7467</v>
          </cell>
          <cell r="C1236" t="str">
            <v>GORRET ELSA</v>
          </cell>
          <cell r="D1236" t="str">
            <v>GRRLSE68A58A326J</v>
          </cell>
          <cell r="E1236" t="str">
            <v>VIA GERVASONE 11</v>
          </cell>
          <cell r="F1236">
            <v>11024</v>
          </cell>
          <cell r="G1236" t="str">
            <v>CHATILLON</v>
          </cell>
          <cell r="H1236" t="str">
            <v>AO</v>
          </cell>
          <cell r="I1236" t="str">
            <v>ITALIA</v>
          </cell>
          <cell r="J1236" t="str">
            <v>328-7852705</v>
          </cell>
        </row>
        <row r="1237">
          <cell r="B1237">
            <v>6654</v>
          </cell>
          <cell r="C1237" t="str">
            <v>GOURMET CAFFE' DI  ZERBI VITTORINO</v>
          </cell>
          <cell r="D1237" t="str">
            <v>09094310969 ZRBVTR67S11I815 M</v>
          </cell>
          <cell r="E1237" t="str">
            <v>VIA DON PIERINO, 22</v>
          </cell>
          <cell r="F1237">
            <v>26867</v>
          </cell>
          <cell r="G1237" t="str">
            <v>SOMAGLIA</v>
          </cell>
          <cell r="H1237" t="str">
            <v>LO</v>
          </cell>
          <cell r="I1237" t="str">
            <v>ITALIA</v>
          </cell>
          <cell r="J1237" t="str">
            <v>347-4896288</v>
          </cell>
        </row>
        <row r="1238">
          <cell r="B1238">
            <v>6562</v>
          </cell>
          <cell r="C1238" t="str">
            <v>GOURMET ONE S.R.L.</v>
          </cell>
          <cell r="E1238" t="str">
            <v>VIA GASPARE SPONTINI, 3</v>
          </cell>
          <cell r="F1238">
            <v>20131</v>
          </cell>
          <cell r="G1238" t="str">
            <v>MILANO</v>
          </cell>
          <cell r="H1238" t="str">
            <v>MI</v>
          </cell>
          <cell r="I1238" t="str">
            <v>ITALIA</v>
          </cell>
          <cell r="J1238" t="str">
            <v>02-23058577</v>
          </cell>
        </row>
        <row r="1239">
          <cell r="B1239">
            <v>4901</v>
          </cell>
          <cell r="C1239" t="str">
            <v>GP MARKET 24 DI  DIBENEDETTO  GIANPIERO</v>
          </cell>
          <cell r="D1239" t="str">
            <v>11110150015 DBNGPR72L18L219F</v>
          </cell>
          <cell r="E1239" t="str">
            <v>VIA BUENOS AIRES 84/E</v>
          </cell>
          <cell r="F1239">
            <v>10100</v>
          </cell>
          <cell r="G1239" t="str">
            <v>TORINO</v>
          </cell>
          <cell r="H1239" t="str">
            <v>TO</v>
          </cell>
          <cell r="I1239" t="str">
            <v>ITALIA</v>
          </cell>
          <cell r="J1239" t="str">
            <v>389-9275377</v>
          </cell>
        </row>
        <row r="1240">
          <cell r="B1240">
            <v>5898</v>
          </cell>
          <cell r="C1240" t="str">
            <v>GR GENERALE  RISTORAZIONE S.R.L</v>
          </cell>
          <cell r="D1240" t="str">
            <v>03351970102 01710750025</v>
          </cell>
          <cell r="E1240" t="str">
            <v>VIA PIANDILUCCO, 22  ROSSO</v>
          </cell>
          <cell r="F1240">
            <v>16155</v>
          </cell>
          <cell r="G1240" t="str">
            <v>GENOVA - PEGLI</v>
          </cell>
          <cell r="H1240" t="str">
            <v>GE</v>
          </cell>
          <cell r="I1240" t="str">
            <v>ITALIA</v>
          </cell>
          <cell r="J1240" t="str">
            <v>011-9673131</v>
          </cell>
        </row>
        <row r="1241">
          <cell r="B1241">
            <v>2229</v>
          </cell>
          <cell r="C1241" t="str">
            <v>GRAMATICA GIANPIERO S.N.C.</v>
          </cell>
          <cell r="D1241" t="str">
            <v>00885660969 08006830155</v>
          </cell>
          <cell r="E1241" t="str">
            <v>VIA VIGNONE, 47</v>
          </cell>
          <cell r="F1241">
            <v>20822</v>
          </cell>
          <cell r="G1241" t="str">
            <v>BARUCCANA DI  SEVESO</v>
          </cell>
          <cell r="H1241" t="str">
            <v>MB</v>
          </cell>
          <cell r="I1241" t="str">
            <v>ITALIA</v>
          </cell>
          <cell r="J1241" t="str">
            <v>0362-501245</v>
          </cell>
        </row>
        <row r="1242">
          <cell r="B1242">
            <v>7153</v>
          </cell>
          <cell r="C1242" t="str">
            <v>GRANATA NATALINA</v>
          </cell>
          <cell r="D1242" t="str">
            <v>GRNNLN65T65I086L</v>
          </cell>
          <cell r="E1242" t="str">
            <v>VIA PORTA CETO, 1</v>
          </cell>
          <cell r="F1242">
            <v>98068</v>
          </cell>
          <cell r="G1242" t="str">
            <v>SAN PIERO PATTI</v>
          </cell>
          <cell r="H1242" t="str">
            <v>ME</v>
          </cell>
          <cell r="I1242" t="str">
            <v>ITALIA</v>
          </cell>
          <cell r="J1242" t="str">
            <v>328-8958417</v>
          </cell>
        </row>
        <row r="1243">
          <cell r="B1243">
            <v>7571</v>
          </cell>
          <cell r="C1243" t="str">
            <v>GRANELLI GIULIA</v>
          </cell>
          <cell r="E1243" t="str">
            <v>VIALE AGUGGIARI, 5</v>
          </cell>
          <cell r="F1243">
            <v>21100</v>
          </cell>
          <cell r="G1243" t="str">
            <v>VARESE</v>
          </cell>
          <cell r="H1243" t="str">
            <v xml:space="preserve">VA </v>
          </cell>
          <cell r="I1243" t="str">
            <v>ITALIA</v>
          </cell>
        </row>
        <row r="1244">
          <cell r="B1244">
            <v>6430</v>
          </cell>
          <cell r="C1244" t="str">
            <v>GRC DI GRECO E. &amp;  C. S.A.S.</v>
          </cell>
          <cell r="D1244" t="str">
            <v>03816620961 03816620961</v>
          </cell>
          <cell r="E1244" t="str">
            <v>VIA SOLFERINO, 78B</v>
          </cell>
          <cell r="F1244">
            <v>20831</v>
          </cell>
          <cell r="G1244" t="str">
            <v>SEREGNO</v>
          </cell>
          <cell r="H1244" t="str">
            <v>MI</v>
          </cell>
          <cell r="I1244" t="str">
            <v>ITALIA</v>
          </cell>
          <cell r="J1244" t="str">
            <v xml:space="preserve">0362-1820083 </v>
          </cell>
        </row>
        <row r="1245">
          <cell r="B1245">
            <v>7014</v>
          </cell>
          <cell r="C1245" t="str">
            <v>GRECA ENRICO</v>
          </cell>
          <cell r="D1245" t="str">
            <v>GRCNRC57H12I982 P</v>
          </cell>
          <cell r="E1245" t="str">
            <v>VIA PROVVIDENZA, 13</v>
          </cell>
          <cell r="F1245">
            <v>88816</v>
          </cell>
          <cell r="G1245" t="str">
            <v>STRONGOLI</v>
          </cell>
          <cell r="H1245" t="str">
            <v>KR</v>
          </cell>
          <cell r="I1245" t="str">
            <v>ITALIA</v>
          </cell>
          <cell r="J1245" t="str">
            <v>320-3892000</v>
          </cell>
        </row>
        <row r="1246">
          <cell r="B1246">
            <v>7189</v>
          </cell>
          <cell r="C1246" t="str">
            <v>GRECO GOMME  RACING S.R.L.</v>
          </cell>
          <cell r="D1246" t="str">
            <v>00906710967</v>
          </cell>
          <cell r="E1246" t="str">
            <v>VIA VALTELLINA, 11</v>
          </cell>
          <cell r="F1246">
            <v>20092</v>
          </cell>
          <cell r="G1246" t="str">
            <v>CINISELLO  BALSAMO</v>
          </cell>
          <cell r="H1246" t="str">
            <v>MI</v>
          </cell>
          <cell r="I1246" t="str">
            <v>ITALIA</v>
          </cell>
          <cell r="J1246" t="str">
            <v>390-26601993</v>
          </cell>
        </row>
        <row r="1247">
          <cell r="B1247">
            <v>6525</v>
          </cell>
          <cell r="C1247" t="str">
            <v>GRECO MARIO</v>
          </cell>
          <cell r="D1247" t="str">
            <v>11792170018 GRCMRA76E21G273 M</v>
          </cell>
          <cell r="E1247" t="str">
            <v>C.SO ORBASSANO, 142</v>
          </cell>
          <cell r="F1247">
            <v>10137</v>
          </cell>
          <cell r="G1247" t="str">
            <v>TORINO</v>
          </cell>
          <cell r="H1247" t="str">
            <v>TO</v>
          </cell>
          <cell r="I1247" t="str">
            <v>ITALIA</v>
          </cell>
          <cell r="J1247" t="str">
            <v>349-2552146</v>
          </cell>
        </row>
        <row r="1248">
          <cell r="B1248">
            <v>4899</v>
          </cell>
          <cell r="C1248" t="str">
            <v>GRECO PIA</v>
          </cell>
          <cell r="D1248" t="str">
            <v>11049370015 GRCPIA77D68Z112 C</v>
          </cell>
          <cell r="E1248" t="str">
            <v>VIA DANDOLO, 31</v>
          </cell>
          <cell r="F1248">
            <v>10136</v>
          </cell>
          <cell r="G1248" t="str">
            <v>TORINO</v>
          </cell>
          <cell r="H1248" t="str">
            <v>TO</v>
          </cell>
          <cell r="I1248" t="str">
            <v>ITALIA</v>
          </cell>
          <cell r="J1248" t="str">
            <v>349-2552146</v>
          </cell>
        </row>
        <row r="1249">
          <cell r="B1249">
            <v>3064</v>
          </cell>
          <cell r="C1249" t="str">
            <v>GRECO ROSALBA</v>
          </cell>
          <cell r="D1249" t="str">
            <v>09447020018 GRCRLB52M70L727 R</v>
          </cell>
          <cell r="E1249" t="str">
            <v>VIA ROMA, 42</v>
          </cell>
          <cell r="F1249">
            <v>10093</v>
          </cell>
          <cell r="G1249" t="str">
            <v>COLLEGNO</v>
          </cell>
          <cell r="H1249" t="str">
            <v>TO</v>
          </cell>
          <cell r="I1249" t="str">
            <v>ITALIA</v>
          </cell>
          <cell r="J1249" t="str">
            <v>011-9359195</v>
          </cell>
        </row>
        <row r="1250">
          <cell r="B1250">
            <v>7185</v>
          </cell>
          <cell r="C1250" t="str">
            <v>GREEN CLUB S.N.C.</v>
          </cell>
          <cell r="D1250" t="str">
            <v>09212340013 09212340013</v>
          </cell>
          <cell r="E1250" t="str">
            <v>VIA BUFFA, 47</v>
          </cell>
          <cell r="F1250">
            <v>10042</v>
          </cell>
          <cell r="G1250" t="str">
            <v>NICHELINO</v>
          </cell>
          <cell r="H1250" t="str">
            <v>TO</v>
          </cell>
          <cell r="I1250" t="str">
            <v>ITALIA</v>
          </cell>
          <cell r="J1250" t="str">
            <v>011-6807437</v>
          </cell>
        </row>
        <row r="1251">
          <cell r="B1251">
            <v>6813</v>
          </cell>
          <cell r="C1251" t="str">
            <v>GRENKE  LOCAZIONE S.R.L.</v>
          </cell>
          <cell r="D1251" t="str">
            <v>13187000156</v>
          </cell>
          <cell r="E1251" t="str">
            <v>VIA MONTEFELTRO, 4</v>
          </cell>
          <cell r="F1251">
            <v>20156</v>
          </cell>
          <cell r="G1251" t="str">
            <v>MILANO</v>
          </cell>
          <cell r="H1251" t="str">
            <v>MI</v>
          </cell>
          <cell r="I1251" t="str">
            <v>ITALIA</v>
          </cell>
          <cell r="J1251" t="str">
            <v xml:space="preserve">02-300821 </v>
          </cell>
        </row>
        <row r="1252">
          <cell r="B1252">
            <v>7499</v>
          </cell>
          <cell r="C1252" t="str">
            <v>GROSSI PAOLO</v>
          </cell>
          <cell r="D1252" t="str">
            <v>GRSPNG53R20G388 W</v>
          </cell>
          <cell r="E1252" t="str">
            <v>VIA ERCOLANO 3</v>
          </cell>
          <cell r="F1252">
            <v>20155</v>
          </cell>
          <cell r="G1252" t="str">
            <v>MILANO</v>
          </cell>
          <cell r="H1252" t="str">
            <v>MI</v>
          </cell>
          <cell r="I1252" t="str">
            <v>ITALIA</v>
          </cell>
          <cell r="J1252"/>
        </row>
        <row r="1253">
          <cell r="B1253">
            <v>3140</v>
          </cell>
          <cell r="C1253" t="str">
            <v>GRUMELLI  FABRIZIO</v>
          </cell>
          <cell r="D1253" t="str">
            <v>00278480967 GRMFRZ58C10I577 F</v>
          </cell>
          <cell r="E1253" t="str">
            <v>VIA TOLOMEO, 10</v>
          </cell>
          <cell r="F1253">
            <v>20052</v>
          </cell>
          <cell r="G1253" t="str">
            <v>MONZA</v>
          </cell>
          <cell r="H1253" t="str">
            <v>MI</v>
          </cell>
          <cell r="I1253" t="str">
            <v>ITALIA</v>
          </cell>
          <cell r="J1253" t="str">
            <v>349-7823385</v>
          </cell>
        </row>
        <row r="1254">
          <cell r="B1254">
            <v>6462</v>
          </cell>
          <cell r="C1254" t="str">
            <v>GRUPPO  AMAVEND S.R.L.</v>
          </cell>
          <cell r="D1254" t="str">
            <v>10972650013 10972650013</v>
          </cell>
          <cell r="E1254" t="str">
            <v>CORSO MASSIMO D' AZEGLIO, 60</v>
          </cell>
          <cell r="F1254">
            <v>10126</v>
          </cell>
          <cell r="G1254" t="str">
            <v>TORINO</v>
          </cell>
          <cell r="H1254" t="str">
            <v>TO</v>
          </cell>
          <cell r="I1254" t="str">
            <v>ITALIA</v>
          </cell>
          <cell r="J1254" t="str">
            <v>011-0371220</v>
          </cell>
        </row>
        <row r="1255">
          <cell r="B1255">
            <v>8451</v>
          </cell>
          <cell r="C1255" t="str">
            <v>GRUPPO FRATELLI S.R.L.</v>
          </cell>
          <cell r="E1255" t="str">
            <v>VIA ERITREA,5</v>
          </cell>
          <cell r="F1255">
            <v>20032</v>
          </cell>
          <cell r="G1255" t="str">
            <v>CORMANO</v>
          </cell>
          <cell r="H1255" t="str">
            <v>MI</v>
          </cell>
          <cell r="I1255" t="str">
            <v>ITALIA</v>
          </cell>
          <cell r="J1255" t="str">
            <v>339-3577313</v>
          </cell>
        </row>
        <row r="1256">
          <cell r="B1256">
            <v>3096</v>
          </cell>
          <cell r="C1256" t="str">
            <v>GRUPPO ILLIRIA S.P. A.</v>
          </cell>
          <cell r="D1256" t="str">
            <v>01038120307 01038120307</v>
          </cell>
          <cell r="E1256" t="str">
            <v>VIA JACOPO LINUSSIO, 1</v>
          </cell>
          <cell r="F1256">
            <v>33100</v>
          </cell>
          <cell r="G1256" t="str">
            <v>UDINE</v>
          </cell>
          <cell r="H1256" t="str">
            <v>UD</v>
          </cell>
          <cell r="I1256" t="str">
            <v>ITALIA</v>
          </cell>
          <cell r="J1256" t="str">
            <v>011-8968599</v>
          </cell>
        </row>
        <row r="1257">
          <cell r="B1257">
            <v>4239</v>
          </cell>
          <cell r="C1257" t="str">
            <v>GRUPPO SAEMI S.N. C.</v>
          </cell>
          <cell r="D1257" t="str">
            <v>03129790790 03129790790</v>
          </cell>
          <cell r="E1257" t="str">
            <v>VIA SCYLLETION  SNC</v>
          </cell>
          <cell r="F1257">
            <v>88021</v>
          </cell>
          <cell r="G1257" t="str">
            <v>BORGIA</v>
          </cell>
          <cell r="H1257" t="str">
            <v>CZ</v>
          </cell>
          <cell r="I1257" t="str">
            <v>ITALIA</v>
          </cell>
          <cell r="J1257" t="str">
            <v xml:space="preserve">011-0262275 </v>
          </cell>
        </row>
        <row r="1258">
          <cell r="B1258">
            <v>7304</v>
          </cell>
          <cell r="C1258" t="str">
            <v>GS CAFFE' DI  PASCUCCIELLO  FABIO</v>
          </cell>
          <cell r="D1258" t="str">
            <v>10096850960 PSCFBA77S16A940 F</v>
          </cell>
          <cell r="E1258" t="str">
            <v>VIA OSPITALETTO, 65</v>
          </cell>
          <cell r="F1258">
            <v>20021</v>
          </cell>
          <cell r="G1258" t="str">
            <v>BOLLATE</v>
          </cell>
          <cell r="H1258" t="str">
            <v>MI</v>
          </cell>
          <cell r="I1258" t="str">
            <v>ITALIA</v>
          </cell>
          <cell r="J1258" t="str">
            <v>347-5426465</v>
          </cell>
        </row>
        <row r="1259">
          <cell r="B1259">
            <v>7572</v>
          </cell>
          <cell r="C1259" t="str">
            <v>GS CAFFE' S.A.S. DI PASCUSCIELLO FABIO &amp; C.</v>
          </cell>
          <cell r="E1259" t="str">
            <v>VIA VITTORIO VENETO, 42</v>
          </cell>
          <cell r="F1259">
            <v>20021</v>
          </cell>
          <cell r="G1259" t="str">
            <v>BOLLATE</v>
          </cell>
          <cell r="H1259" t="str">
            <v>MI</v>
          </cell>
          <cell r="I1259" t="str">
            <v>ITALIA</v>
          </cell>
          <cell r="J1259" t="str">
            <v>347-5426465</v>
          </cell>
        </row>
        <row r="1260">
          <cell r="B1260">
            <v>4706</v>
          </cell>
          <cell r="C1260" t="str">
            <v>GSDA DI CORMUTO  DAVIDE</v>
          </cell>
          <cell r="D1260" t="str">
            <v>. .</v>
          </cell>
          <cell r="E1260" t="str">
            <v>VIA ROSA LUXEMBURG</v>
          </cell>
          <cell r="F1260">
            <v>10093</v>
          </cell>
          <cell r="G1260" t="str">
            <v>COLLEGNO</v>
          </cell>
          <cell r="H1260" t="str">
            <v>TO</v>
          </cell>
          <cell r="I1260" t="str">
            <v>ITALIA</v>
          </cell>
        </row>
        <row r="1261">
          <cell r="B1261">
            <v>3548</v>
          </cell>
          <cell r="C1261" t="str">
            <v>GTS S.A.S. DI  TONELLO  GIANFRANCO &amp; C.</v>
          </cell>
          <cell r="D1261" t="str">
            <v>10133070010 10133070010</v>
          </cell>
          <cell r="E1261" t="str">
            <v>CORSO SICCARDI, 11/BIS</v>
          </cell>
          <cell r="F1261">
            <v>10122</v>
          </cell>
          <cell r="G1261" t="str">
            <v>TORINO</v>
          </cell>
          <cell r="H1261" t="str">
            <v>TO</v>
          </cell>
          <cell r="I1261" t="str">
            <v>ITALIA</v>
          </cell>
          <cell r="J1261" t="str">
            <v>327-6115866</v>
          </cell>
        </row>
        <row r="1262">
          <cell r="B1262">
            <v>6687</v>
          </cell>
          <cell r="C1262" t="str">
            <v>GUAGLIANONE  MAURO</v>
          </cell>
          <cell r="D1262" t="str">
            <v>01645980085 GGLMRA77L28E290J</v>
          </cell>
          <cell r="E1262" t="str">
            <v>VIA BONFANTE, 41</v>
          </cell>
          <cell r="F1262">
            <v>18100</v>
          </cell>
          <cell r="G1262" t="str">
            <v>IMPERIA</v>
          </cell>
          <cell r="H1262" t="str">
            <v>IM</v>
          </cell>
          <cell r="I1262" t="str">
            <v>ITALIA</v>
          </cell>
          <cell r="J1262" t="str">
            <v>345-9276073</v>
          </cell>
        </row>
        <row r="1263">
          <cell r="B1263">
            <v>7184</v>
          </cell>
          <cell r="C1263" t="str">
            <v>GUALDONI CRISTINA</v>
          </cell>
          <cell r="D1263" t="str">
            <v>05603570960 GLDCST76C55B300 R</v>
          </cell>
          <cell r="E1263" t="str">
            <v>VIA FRATELLI BANDIERA,  5</v>
          </cell>
          <cell r="F1263">
            <v>20001</v>
          </cell>
          <cell r="G1263" t="str">
            <v>INVERUNO</v>
          </cell>
          <cell r="H1263" t="str">
            <v>MI</v>
          </cell>
          <cell r="I1263" t="str">
            <v>ITALIA</v>
          </cell>
          <cell r="J1263" t="str">
            <v>345-6902879</v>
          </cell>
        </row>
        <row r="1264">
          <cell r="B1264">
            <v>7001</v>
          </cell>
          <cell r="C1264" t="str">
            <v>GUARINO  ANTONELLA</v>
          </cell>
          <cell r="D1264" t="str">
            <v>GRNNNL74C69F839 P</v>
          </cell>
          <cell r="E1264" t="str">
            <v>LARGO MALZONI, 11</v>
          </cell>
          <cell r="F1264">
            <v>83100</v>
          </cell>
          <cell r="G1264" t="str">
            <v>AVELLINO</v>
          </cell>
          <cell r="H1264" t="str">
            <v>AV</v>
          </cell>
          <cell r="I1264" t="str">
            <v>ITALIA</v>
          </cell>
          <cell r="J1264" t="str">
            <v>347-0964040</v>
          </cell>
        </row>
        <row r="1265">
          <cell r="B1265">
            <v>7225</v>
          </cell>
          <cell r="C1265" t="str">
            <v>GUARNOTTA ANGELO</v>
          </cell>
          <cell r="D1265" t="str">
            <v>GRNNGL59L09L331 D</v>
          </cell>
          <cell r="E1265" t="str">
            <v>VIALE ALPI, 37</v>
          </cell>
          <cell r="F1265">
            <v>19123</v>
          </cell>
          <cell r="G1265" t="str">
            <v>LA SPEZIA</v>
          </cell>
          <cell r="H1265" t="str">
            <v>SP</v>
          </cell>
          <cell r="I1265" t="str">
            <v>ITALIA</v>
          </cell>
          <cell r="J1265" t="str">
            <v>347-2426471</v>
          </cell>
        </row>
        <row r="1266">
          <cell r="B1266">
            <v>4021</v>
          </cell>
          <cell r="C1266" t="str">
            <v>GUATEMAL CAFFE' S. A.S. DI LIPARULO  GIUSEPPE &amp; C.</v>
          </cell>
          <cell r="D1266" t="str">
            <v>10473020013 10473020013</v>
          </cell>
          <cell r="E1266" t="str">
            <v>VIA DRUENTO, 131</v>
          </cell>
          <cell r="F1266">
            <v>10151</v>
          </cell>
          <cell r="G1266" t="str">
            <v>TORINO</v>
          </cell>
          <cell r="H1266" t="str">
            <v>TO</v>
          </cell>
          <cell r="I1266" t="str">
            <v>ITALIA</v>
          </cell>
          <cell r="J1266" t="str">
            <v>011-7396978</v>
          </cell>
        </row>
        <row r="1267">
          <cell r="B1267">
            <v>7104</v>
          </cell>
          <cell r="C1267" t="str">
            <v>GUGLIELMINETTI  DOMENICO</v>
          </cell>
          <cell r="D1267" t="str">
            <v>GGLDNC61P15A479 Q</v>
          </cell>
          <cell r="E1267" t="str">
            <v>VIA UMBERTO CALOSSO,  7</v>
          </cell>
          <cell r="F1267">
            <v>14100</v>
          </cell>
          <cell r="G1267" t="str">
            <v>ASTI</v>
          </cell>
          <cell r="H1267" t="str">
            <v>AT</v>
          </cell>
          <cell r="I1267" t="str">
            <v>ITALIA</v>
          </cell>
          <cell r="J1267" t="str">
            <v>391-7637766</v>
          </cell>
        </row>
        <row r="1268">
          <cell r="B1268">
            <v>3071</v>
          </cell>
          <cell r="C1268" t="str">
            <v>GULLIBAR DI  CALONI DEBORA</v>
          </cell>
          <cell r="D1268" t="str">
            <v>04592520961 CLNDBR72P54E094 L</v>
          </cell>
          <cell r="E1268" t="str">
            <v>VIA CONFALONIERI, 23</v>
          </cell>
          <cell r="F1268">
            <v>20060</v>
          </cell>
          <cell r="G1268" t="str">
            <v>BELLINZAGO  LOMBARDO</v>
          </cell>
          <cell r="H1268" t="str">
            <v>MI</v>
          </cell>
          <cell r="I1268" t="str">
            <v>ITALIA</v>
          </cell>
          <cell r="J1268" t="str">
            <v>02-95383661</v>
          </cell>
        </row>
        <row r="1269">
          <cell r="B1269">
            <v>1314</v>
          </cell>
          <cell r="C1269" t="str">
            <v>GUM BASE CO. S.P. A.</v>
          </cell>
          <cell r="D1269" t="str">
            <v>00734730153 00734730153</v>
          </cell>
          <cell r="E1269" t="str">
            <v>VIA NERVIANO, 25</v>
          </cell>
          <cell r="F1269">
            <v>20020</v>
          </cell>
          <cell r="G1269" t="str">
            <v>LAINATE</v>
          </cell>
          <cell r="H1269" t="str">
            <v>MI</v>
          </cell>
          <cell r="I1269" t="str">
            <v>ITALIA</v>
          </cell>
          <cell r="J1269" t="str">
            <v xml:space="preserve">02-931721 </v>
          </cell>
        </row>
        <row r="1270">
          <cell r="B1270">
            <v>4170</v>
          </cell>
          <cell r="C1270" t="str">
            <v>GUMAN S.R.L.</v>
          </cell>
          <cell r="D1270" t="str">
            <v>02418130023 02418130023</v>
          </cell>
          <cell r="E1270" t="str">
            <v>VIA CAIROLI, 5</v>
          </cell>
          <cell r="F1270">
            <v>21100</v>
          </cell>
          <cell r="G1270" t="str">
            <v>VARESE</v>
          </cell>
          <cell r="H1270" t="str">
            <v>VA</v>
          </cell>
          <cell r="I1270" t="str">
            <v>ITALIA</v>
          </cell>
          <cell r="J1270" t="str">
            <v>348-1022353</v>
          </cell>
        </row>
        <row r="1271">
          <cell r="B1271">
            <v>7318</v>
          </cell>
          <cell r="C1271" t="str">
            <v>GURADECI EDMIR</v>
          </cell>
          <cell r="D1271" t="str">
            <v>GRDDMR79R08Z10 0A</v>
          </cell>
          <cell r="E1271" t="str">
            <v>VIA AGOSTINO FOSSATI  23</v>
          </cell>
          <cell r="F1271">
            <v>19121</v>
          </cell>
          <cell r="G1271" t="str">
            <v>LA SPEZIA</v>
          </cell>
          <cell r="H1271" t="str">
            <v>SP</v>
          </cell>
          <cell r="I1271" t="str">
            <v>ITALIA</v>
          </cell>
          <cell r="J1271" t="str">
            <v>380-5803152</v>
          </cell>
        </row>
        <row r="1272">
          <cell r="B1272">
            <v>4750</v>
          </cell>
          <cell r="C1272" t="str">
            <v>GUSTI PREZIOSI DI  SANTARELLI  WILLIAM MARIA</v>
          </cell>
          <cell r="D1272" t="str">
            <v>11432380019 SNTWLM69A10L219 M</v>
          </cell>
          <cell r="E1272" t="str">
            <v>CORSO AGNELLI, 52/B</v>
          </cell>
          <cell r="F1272">
            <v>10137</v>
          </cell>
          <cell r="G1272" t="str">
            <v>TORINO</v>
          </cell>
          <cell r="H1272" t="str">
            <v>TO</v>
          </cell>
          <cell r="I1272" t="str">
            <v>ITALIA</v>
          </cell>
          <cell r="J1272" t="str">
            <v>334-6756019</v>
          </cell>
        </row>
        <row r="1273">
          <cell r="B1273">
            <v>3606</v>
          </cell>
          <cell r="C1273" t="str">
            <v>GUSTO &amp; CAFFE' S.R. L.</v>
          </cell>
          <cell r="D1273" t="str">
            <v>10035410017 10035410017</v>
          </cell>
          <cell r="E1273" t="str">
            <v>VIA FAVRO,12</v>
          </cell>
          <cell r="F1273">
            <v>10121</v>
          </cell>
          <cell r="G1273" t="str">
            <v>TORINO</v>
          </cell>
          <cell r="H1273" t="str">
            <v>TO</v>
          </cell>
          <cell r="I1273" t="str">
            <v>ITALIA</v>
          </cell>
          <cell r="J1273" t="str">
            <v>011-19486174</v>
          </cell>
        </row>
        <row r="1274">
          <cell r="B1274">
            <v>6716</v>
          </cell>
          <cell r="C1274" t="str">
            <v>GUSTO DI CASA</v>
          </cell>
          <cell r="D1274" t="str">
            <v>09146540969 LCQSLL81S51E063 W</v>
          </cell>
          <cell r="E1274" t="str">
            <v>VIA CARDINAL FERRARI,5</v>
          </cell>
          <cell r="F1274">
            <v>20834</v>
          </cell>
          <cell r="G1274" t="str">
            <v>MARIANO COMENSE</v>
          </cell>
          <cell r="H1274" t="str">
            <v>CO</v>
          </cell>
          <cell r="I1274" t="str">
            <v>ITALIA</v>
          </cell>
          <cell r="J1274" t="str">
            <v>031-6879040</v>
          </cell>
        </row>
        <row r="1275">
          <cell r="B1275">
            <v>7075</v>
          </cell>
          <cell r="C1275" t="str">
            <v>GUSTO PIU' DI  NAGGI DAVIDE</v>
          </cell>
          <cell r="D1275" t="str">
            <v>10970490966 NGGDVD82T09D19 8O</v>
          </cell>
          <cell r="E1275" t="str">
            <v>VIA IV GIUGNO, 70</v>
          </cell>
          <cell r="F1275">
            <v>20013</v>
          </cell>
          <cell r="G1275" t="str">
            <v>MAGENTA</v>
          </cell>
          <cell r="H1275" t="str">
            <v>MI</v>
          </cell>
          <cell r="I1275" t="str">
            <v>ITALIA</v>
          </cell>
          <cell r="J1275" t="str">
            <v>339-7070576</v>
          </cell>
        </row>
        <row r="1276">
          <cell r="B1276">
            <v>2709</v>
          </cell>
          <cell r="C1276" t="str">
            <v>GUSTOLINE S.R.L.</v>
          </cell>
          <cell r="D1276" t="str">
            <v>02956890129 02956890129</v>
          </cell>
          <cell r="E1276" t="str">
            <v>VIA FANO, 1</v>
          </cell>
          <cell r="F1276">
            <v>21052</v>
          </cell>
          <cell r="G1276" t="str">
            <v>BUSTO ARSIZIO</v>
          </cell>
          <cell r="H1276" t="str">
            <v>VA</v>
          </cell>
          <cell r="I1276" t="str">
            <v>ITALIA</v>
          </cell>
          <cell r="J1276" t="str">
            <v>0331-323035</v>
          </cell>
        </row>
        <row r="1277">
          <cell r="B1277">
            <v>4364</v>
          </cell>
          <cell r="C1277" t="str">
            <v>GUSTOMATICO  S.R.L.</v>
          </cell>
          <cell r="D1277" t="str">
            <v>01378260119 01378260119</v>
          </cell>
          <cell r="E1277" t="str">
            <v>VIA PROVINCIALE RIPA -  LOC. FORNOLA</v>
          </cell>
          <cell r="F1277">
            <v>19020</v>
          </cell>
          <cell r="G1277" t="str">
            <v>VEZZANO  LIGURE</v>
          </cell>
          <cell r="H1277" t="str">
            <v>SP</v>
          </cell>
          <cell r="I1277" t="str">
            <v>ITALIA</v>
          </cell>
          <cell r="J1277" t="str">
            <v>0187-503784</v>
          </cell>
        </row>
        <row r="1278">
          <cell r="B1278">
            <v>7114</v>
          </cell>
          <cell r="C1278" t="str">
            <v>GUZZO STEFANO</v>
          </cell>
          <cell r="D1278" t="str">
            <v>GZZSFN67S29E488 W</v>
          </cell>
          <cell r="E1278" t="str">
            <v>VIA SOCCORSO 14A</v>
          </cell>
          <cell r="F1278">
            <v>16039</v>
          </cell>
          <cell r="G1278" t="str">
            <v>SESTRI LEVANTE</v>
          </cell>
          <cell r="H1278" t="str">
            <v>GE</v>
          </cell>
          <cell r="I1278" t="str">
            <v>ITALIA</v>
          </cell>
          <cell r="J1278" t="str">
            <v>335-8086541</v>
          </cell>
        </row>
        <row r="1279">
          <cell r="B1279">
            <v>7118</v>
          </cell>
          <cell r="C1279" t="str">
            <v>GUZZON IVANO</v>
          </cell>
          <cell r="D1279" t="str">
            <v>GZZVNI65M16L219 W</v>
          </cell>
          <cell r="E1279" t="str">
            <v>VIA VERDI, 3</v>
          </cell>
          <cell r="F1279">
            <v>10124</v>
          </cell>
          <cell r="G1279" t="str">
            <v>TORINO</v>
          </cell>
          <cell r="H1279" t="str">
            <v>TO</v>
          </cell>
          <cell r="I1279" t="str">
            <v>ITALIA</v>
          </cell>
          <cell r="J1279" t="str">
            <v>339-8405693</v>
          </cell>
        </row>
        <row r="1280">
          <cell r="B1280">
            <v>4995</v>
          </cell>
          <cell r="C1280" t="str">
            <v>GYM SHOP DI  CAPPELLO IVAN</v>
          </cell>
          <cell r="D1280" t="str">
            <v>03068180961 CPPVNI71R18I441J</v>
          </cell>
          <cell r="E1280" t="str">
            <v>VIA MATTEOTTI, 21</v>
          </cell>
          <cell r="F1280">
            <v>20812</v>
          </cell>
          <cell r="G1280" t="str">
            <v>LIMBIATE</v>
          </cell>
          <cell r="H1280" t="str">
            <v>MB</v>
          </cell>
          <cell r="I1280" t="str">
            <v>ITALIA</v>
          </cell>
          <cell r="J1280" t="str">
            <v>347-2713797</v>
          </cell>
        </row>
        <row r="1281">
          <cell r="B1281">
            <v>6570</v>
          </cell>
          <cell r="C1281" t="str">
            <v>H EMPEOPLE DI  MARCO LISTELLO</v>
          </cell>
          <cell r="D1281" t="str">
            <v>11342580013 LSTMRC80C23H355 T</v>
          </cell>
          <cell r="E1281" t="str">
            <v>STRADA CONTESSA, 67</v>
          </cell>
          <cell r="F1281">
            <v>10040</v>
          </cell>
          <cell r="G1281" t="str">
            <v>CASELETTE</v>
          </cell>
          <cell r="H1281" t="str">
            <v>TO</v>
          </cell>
          <cell r="I1281" t="str">
            <v>ITALIA</v>
          </cell>
          <cell r="J1281" t="str">
            <v>349-1377927</v>
          </cell>
        </row>
        <row r="1282">
          <cell r="B1282">
            <v>4415</v>
          </cell>
          <cell r="C1282" t="str">
            <v>H.M. BISTRO CAFE'</v>
          </cell>
          <cell r="D1282" t="str">
            <v>03313780128 MRLHSZ86H70H264 E</v>
          </cell>
          <cell r="E1282" t="str">
            <v>VIA F.LLI FERRARI, 12</v>
          </cell>
          <cell r="F1282">
            <v>21054</v>
          </cell>
          <cell r="G1282" t="str">
            <v>FAGNANO OLONA</v>
          </cell>
          <cell r="H1282" t="str">
            <v>VA</v>
          </cell>
          <cell r="I1282" t="str">
            <v>ITALIA</v>
          </cell>
          <cell r="J1282" t="str">
            <v>0331-619573</v>
          </cell>
        </row>
        <row r="1283">
          <cell r="B1283">
            <v>10022</v>
          </cell>
          <cell r="C1283" t="str">
            <v>HAITIAN MM ITALY S.R.L.</v>
          </cell>
          <cell r="E1283" t="str">
            <v>VIA GIUSEPPE DI VITTORIO, 56</v>
          </cell>
          <cell r="F1283">
            <v>25125</v>
          </cell>
          <cell r="G1283" t="str">
            <v>BRESCIA</v>
          </cell>
          <cell r="H1283" t="str">
            <v>BS</v>
          </cell>
          <cell r="I1283" t="str">
            <v>ITALIA</v>
          </cell>
          <cell r="J1283" t="str">
            <v>030-7284154</v>
          </cell>
        </row>
        <row r="1284">
          <cell r="B1284">
            <v>4883</v>
          </cell>
          <cell r="C1284" t="str">
            <v>HANON SYSTEM  ITALIA  CAMPIGLIONE SRL A  S.U.</v>
          </cell>
          <cell r="D1284" t="str">
            <v>00513620013 00513620013</v>
          </cell>
          <cell r="E1284" t="str">
            <v>VIA C.COLOMBO, 1</v>
          </cell>
          <cell r="F1284">
            <v>10128</v>
          </cell>
          <cell r="G1284" t="str">
            <v>TORINO</v>
          </cell>
          <cell r="H1284" t="str">
            <v>TO</v>
          </cell>
          <cell r="I1284" t="str">
            <v>ITALIA</v>
          </cell>
          <cell r="J1284" t="str">
            <v>0121-319208</v>
          </cell>
        </row>
        <row r="1285">
          <cell r="B1285">
            <v>6680</v>
          </cell>
          <cell r="C1285" t="str">
            <v>HAPPY DRINK DI  PIETROCOLA LEO</v>
          </cell>
          <cell r="D1285" t="str">
            <v>11950100013 PTRLEO66A04E734Y</v>
          </cell>
          <cell r="E1285" t="str">
            <v>VIA LESSONA, 11</v>
          </cell>
          <cell r="F1285">
            <v>10100</v>
          </cell>
          <cell r="G1285" t="str">
            <v>TORINO</v>
          </cell>
          <cell r="H1285" t="str">
            <v>TO</v>
          </cell>
          <cell r="I1285" t="str">
            <v>ITALIA</v>
          </cell>
          <cell r="J1285" t="str">
            <v>329-4121196</v>
          </cell>
        </row>
        <row r="1286">
          <cell r="B1286">
            <v>4835</v>
          </cell>
          <cell r="C1286" t="str">
            <v>Hassan Hattye</v>
          </cell>
          <cell r="F1286"/>
          <cell r="I1286" t="str">
            <v>ITALIA</v>
          </cell>
        </row>
        <row r="1287">
          <cell r="B1287">
            <v>9997</v>
          </cell>
          <cell r="C1287" t="str">
            <v>HIPAC SPA</v>
          </cell>
          <cell r="E1287" t="str">
            <v>VIA PER ROVATO, 10</v>
          </cell>
          <cell r="F1287">
            <v>25046</v>
          </cell>
          <cell r="G1287" t="str">
            <v>CAZZAGO S.MARTINO</v>
          </cell>
          <cell r="H1287" t="str">
            <v>BS</v>
          </cell>
          <cell r="I1287" t="str">
            <v>ITALIA</v>
          </cell>
        </row>
        <row r="1288">
          <cell r="B1288">
            <v>6824</v>
          </cell>
          <cell r="C1288" t="str">
            <v>HOTEL CORTESE DI  GRUPPO BV S.R.L.S. ***</v>
          </cell>
          <cell r="D1288" t="str">
            <v>01675360083 01675360083</v>
          </cell>
          <cell r="E1288" t="str">
            <v>CORSO INGLESI, 15</v>
          </cell>
          <cell r="F1288">
            <v>18038</v>
          </cell>
          <cell r="G1288" t="str">
            <v>SANREMO</v>
          </cell>
          <cell r="H1288" t="str">
            <v>IM</v>
          </cell>
          <cell r="I1288" t="str">
            <v>ITALIA</v>
          </cell>
          <cell r="J1288" t="str">
            <v>348-3123027</v>
          </cell>
        </row>
        <row r="1289">
          <cell r="B1289">
            <v>7510</v>
          </cell>
          <cell r="C1289" t="str">
            <v>HOTEL LA FRADORA S.A.S.</v>
          </cell>
          <cell r="D1289" t="str">
            <v>01712120219</v>
          </cell>
          <cell r="E1289" t="str">
            <v>VIA COSTADEDOI, 21</v>
          </cell>
          <cell r="F1289">
            <v>39036</v>
          </cell>
          <cell r="G1289" t="str">
            <v>SAN CASSIANO  IN BADIA</v>
          </cell>
          <cell r="H1289" t="str">
            <v>BZ</v>
          </cell>
          <cell r="I1289" t="str">
            <v>ITALIA</v>
          </cell>
          <cell r="J1289" t="str">
            <v>0471-849508</v>
          </cell>
        </row>
        <row r="1290">
          <cell r="B1290">
            <v>6744</v>
          </cell>
          <cell r="C1290" t="str">
            <v>HOTEL ORIGINAL DI  SICILIANO STEFANIA</v>
          </cell>
          <cell r="D1290" t="str">
            <v>11763160014 SCLSFN76B41L219X</v>
          </cell>
          <cell r="E1290" t="str">
            <v>VIA A. FARINELLI, 4</v>
          </cell>
          <cell r="F1290">
            <v>10100</v>
          </cell>
          <cell r="G1290" t="str">
            <v>TORINO</v>
          </cell>
          <cell r="H1290" t="str">
            <v>TO</v>
          </cell>
          <cell r="I1290" t="str">
            <v>ITALIA</v>
          </cell>
          <cell r="J1290" t="str">
            <v>011-3910508</v>
          </cell>
        </row>
        <row r="1291">
          <cell r="B1291">
            <v>4994</v>
          </cell>
          <cell r="C1291" t="str">
            <v>HOTEL UNIVERSO DI  ZHOU CUIE &amp; C. S.A. S.</v>
          </cell>
          <cell r="D1291" t="str">
            <v>11420710011</v>
          </cell>
          <cell r="E1291" t="str">
            <v>CORSO PESCHIERA, 166</v>
          </cell>
          <cell r="F1291">
            <v>10142</v>
          </cell>
          <cell r="G1291" t="str">
            <v>TORINO</v>
          </cell>
          <cell r="H1291" t="str">
            <v>TO</v>
          </cell>
          <cell r="I1291" t="str">
            <v>ITALIA</v>
          </cell>
          <cell r="J1291" t="str">
            <v>011-336480</v>
          </cell>
        </row>
        <row r="1292">
          <cell r="B1292">
            <v>3755</v>
          </cell>
          <cell r="C1292" t="str">
            <v>HOTEL VILLA DANIELA S.N.C.</v>
          </cell>
          <cell r="D1292" t="str">
            <v>01284830088 01284830088</v>
          </cell>
          <cell r="E1292" t="str">
            <v>VIA AURELIA,  223</v>
          </cell>
          <cell r="F1292">
            <v>18016</v>
          </cell>
          <cell r="G1292" t="str">
            <v>SAN  BARTOLOMEO AL  MARE</v>
          </cell>
          <cell r="H1292" t="str">
            <v>IM</v>
          </cell>
          <cell r="I1292" t="str">
            <v>ITALIA</v>
          </cell>
          <cell r="J1292" t="str">
            <v xml:space="preserve">0183-400719 </v>
          </cell>
        </row>
        <row r="1293">
          <cell r="B1293">
            <v>4928</v>
          </cell>
          <cell r="C1293" t="str">
            <v>HOXHA ALKETA</v>
          </cell>
          <cell r="D1293" t="str">
            <v>HXHLKT74H54Z100L</v>
          </cell>
          <cell r="E1293" t="str">
            <v>VIA GEROSA, 8</v>
          </cell>
          <cell r="F1293">
            <v>20900</v>
          </cell>
          <cell r="G1293" t="str">
            <v>MONZA</v>
          </cell>
          <cell r="H1293" t="str">
            <v>MB</v>
          </cell>
          <cell r="I1293" t="str">
            <v>ITALIA</v>
          </cell>
          <cell r="J1293" t="str">
            <v>335-6115628</v>
          </cell>
        </row>
        <row r="1294">
          <cell r="B1294">
            <v>2682</v>
          </cell>
          <cell r="C1294" t="str">
            <v>HS ITALY S.A.S.</v>
          </cell>
          <cell r="D1294" t="str">
            <v>04306240963 04306240963</v>
          </cell>
          <cell r="E1294" t="str">
            <v>VIA VARESE, 2N (VICOLO  PASTEUR)</v>
          </cell>
          <cell r="F1294">
            <v>21047</v>
          </cell>
          <cell r="G1294" t="str">
            <v>SARONNO</v>
          </cell>
          <cell r="H1294" t="str">
            <v>VA</v>
          </cell>
          <cell r="I1294" t="str">
            <v>ITALIA</v>
          </cell>
          <cell r="J1294" t="str">
            <v>02-99028732</v>
          </cell>
        </row>
        <row r="1295">
          <cell r="B1295">
            <v>9996</v>
          </cell>
          <cell r="C1295" t="str">
            <v>HYDRACAR S.R.L.</v>
          </cell>
          <cell r="E1295" t="str">
            <v>VIA P.MASCAGNI, 29</v>
          </cell>
          <cell r="F1295">
            <v>20020</v>
          </cell>
          <cell r="G1295" t="str">
            <v>LAINATE</v>
          </cell>
          <cell r="H1295" t="str">
            <v>MI</v>
          </cell>
          <cell r="I1295" t="str">
            <v>ITALIA</v>
          </cell>
          <cell r="J1295" t="str">
            <v>02-87213378</v>
          </cell>
        </row>
        <row r="1296">
          <cell r="B1296">
            <v>5572</v>
          </cell>
          <cell r="C1296" t="str">
            <v>HYDRO SPORT  STEDA S.R.L.</v>
          </cell>
          <cell r="D1296" t="str">
            <v>02641500042 02641500042</v>
          </cell>
          <cell r="E1296" t="str">
            <v>VIA PIEMONTE, 15</v>
          </cell>
          <cell r="F1296">
            <v>12038</v>
          </cell>
          <cell r="G1296" t="str">
            <v>SAVIGLIANO -  FRAZ. SAN  SALVATORE</v>
          </cell>
          <cell r="H1296" t="str">
            <v>CN</v>
          </cell>
          <cell r="I1296" t="str">
            <v>ITALIA</v>
          </cell>
        </row>
        <row r="1297">
          <cell r="B1297">
            <v>4576</v>
          </cell>
          <cell r="C1297" t="str">
            <v>I 5 CAMPANILI</v>
          </cell>
          <cell r="D1297" t="str">
            <v>01664150123 01664150123</v>
          </cell>
          <cell r="E1297" t="str">
            <v>VIA LUIGI MAINO, 18</v>
          </cell>
          <cell r="F1297">
            <v>21052</v>
          </cell>
          <cell r="G1297" t="str">
            <v>BUSTO ARSIZIO</v>
          </cell>
          <cell r="H1297" t="str">
            <v>VA</v>
          </cell>
          <cell r="I1297" t="str">
            <v>ITALIA</v>
          </cell>
          <cell r="J1297" t="str">
            <v>0331-630493</v>
          </cell>
        </row>
        <row r="1298">
          <cell r="B1298">
            <v>6697</v>
          </cell>
          <cell r="C1298" t="str">
            <v>I BOCCIONI  SERVICE S.R.L.</v>
          </cell>
          <cell r="D1298" t="str">
            <v>09566390960 09566390960</v>
          </cell>
          <cell r="E1298" t="str">
            <v>VIA G. TIRABOSCHI, 8</v>
          </cell>
          <cell r="F1298">
            <v>20135</v>
          </cell>
          <cell r="G1298" t="str">
            <v>MILANO</v>
          </cell>
          <cell r="H1298" t="str">
            <v>MI</v>
          </cell>
          <cell r="I1298" t="str">
            <v>ITALIA</v>
          </cell>
          <cell r="J1298" t="str">
            <v>366-1106435</v>
          </cell>
        </row>
        <row r="1299">
          <cell r="B1299">
            <v>7127</v>
          </cell>
          <cell r="C1299" t="str">
            <v>I COMPATIBILI  S.A. S. DI CAVALLO  ANNE MARIE</v>
          </cell>
          <cell r="D1299" t="str">
            <v>03894630049 03894630049</v>
          </cell>
          <cell r="E1299" t="str">
            <v>VIA SPIELBERG, 29</v>
          </cell>
          <cell r="F1299">
            <v>12037</v>
          </cell>
          <cell r="G1299" t="str">
            <v>SALUZZO</v>
          </cell>
          <cell r="H1299" t="str">
            <v>CN</v>
          </cell>
          <cell r="I1299" t="str">
            <v>ITALIA</v>
          </cell>
          <cell r="J1299" t="str">
            <v>380-4931330</v>
          </cell>
        </row>
        <row r="1300">
          <cell r="B1300">
            <v>7218</v>
          </cell>
          <cell r="C1300" t="str">
            <v>I LOVE COFFEE DI  ABRUZZESE PAOLA</v>
          </cell>
          <cell r="D1300" t="str">
            <v>11221440016 BRZPLA69C55L219 O</v>
          </cell>
          <cell r="E1300" t="str">
            <v>VIA PLAVA 42/I</v>
          </cell>
          <cell r="F1300">
            <v>10135</v>
          </cell>
          <cell r="G1300" t="str">
            <v>TORINO</v>
          </cell>
          <cell r="H1300" t="str">
            <v>TO</v>
          </cell>
          <cell r="I1300" t="str">
            <v>ITALIA</v>
          </cell>
          <cell r="J1300" t="str">
            <v>393-4582746</v>
          </cell>
        </row>
        <row r="1301">
          <cell r="B1301">
            <v>6750</v>
          </cell>
          <cell r="C1301" t="str">
            <v>I VINI DI FABIO E  MASSIMILIANO  QUINTANA S.N.C.</v>
          </cell>
          <cell r="D1301" t="str">
            <v>10600970155 10600970155</v>
          </cell>
          <cell r="E1301" t="str">
            <v>VIA CARLO MAGNO, 7</v>
          </cell>
          <cell r="F1301">
            <v>20015</v>
          </cell>
          <cell r="G1301" t="str">
            <v>VILLASTANZA DI  PARABIAGO</v>
          </cell>
          <cell r="H1301" t="str">
            <v>MI</v>
          </cell>
          <cell r="I1301" t="str">
            <v>ITALIA</v>
          </cell>
          <cell r="J1301" t="str">
            <v>334-1185515</v>
          </cell>
        </row>
        <row r="1302">
          <cell r="B1302">
            <v>5301</v>
          </cell>
          <cell r="C1302" t="str">
            <v>I.D.A. DI  LAGOMARSINO  CARLO</v>
          </cell>
          <cell r="D1302" t="str">
            <v>01265410108 LGMCRL51L09B490 E</v>
          </cell>
          <cell r="E1302" t="str">
            <v>VIA SAVAGNA, 15N</v>
          </cell>
          <cell r="F1302">
            <v>16035</v>
          </cell>
          <cell r="G1302" t="str">
            <v>RAPALLO</v>
          </cell>
          <cell r="H1302" t="str">
            <v>GE</v>
          </cell>
          <cell r="I1302" t="str">
            <v>ITALIA</v>
          </cell>
          <cell r="J1302" t="str">
            <v>333-2284522</v>
          </cell>
        </row>
        <row r="1303">
          <cell r="B1303">
            <v>6761</v>
          </cell>
          <cell r="C1303" t="str">
            <v>I.D.A. DI DENEGRI  LUCA</v>
          </cell>
          <cell r="D1303" t="str">
            <v>02573980998 DNGLCU73M30B490 D</v>
          </cell>
          <cell r="E1303" t="str">
            <v>VIA SAVAGNA, 15N</v>
          </cell>
          <cell r="F1303">
            <v>16035</v>
          </cell>
          <cell r="G1303" t="str">
            <v>RAPALLO</v>
          </cell>
          <cell r="H1303" t="str">
            <v>GE</v>
          </cell>
          <cell r="I1303" t="str">
            <v>ITALIA</v>
          </cell>
          <cell r="J1303" t="str">
            <v>339-6168547</v>
          </cell>
        </row>
        <row r="1304">
          <cell r="B1304">
            <v>2304</v>
          </cell>
          <cell r="C1304" t="str">
            <v>I.EMME S.A.S. DI  MONGUZZI E. &amp; C.</v>
          </cell>
          <cell r="D1304" t="str">
            <v>11070620155 11070620155</v>
          </cell>
          <cell r="E1304" t="str">
            <v>VIA LEOPARDI, 77</v>
          </cell>
          <cell r="F1304">
            <v>20013</v>
          </cell>
          <cell r="G1304" t="str">
            <v>MAGENTA</v>
          </cell>
          <cell r="H1304" t="str">
            <v>MI</v>
          </cell>
          <cell r="I1304" t="str">
            <v>ITALIA</v>
          </cell>
          <cell r="J1304" t="str">
            <v>02-97280180</v>
          </cell>
        </row>
        <row r="1305">
          <cell r="B1305">
            <v>4419</v>
          </cell>
          <cell r="C1305" t="str">
            <v>I.P.S.S.A. NINO  BERGESE</v>
          </cell>
          <cell r="D1305" t="str">
            <v>01797540992 92019070108</v>
          </cell>
          <cell r="E1305" t="str">
            <v>VIA GIOTTO, 10</v>
          </cell>
          <cell r="F1305">
            <v>16153</v>
          </cell>
          <cell r="G1305" t="str">
            <v>SESTRI  PONENTE -  GENOVA</v>
          </cell>
          <cell r="H1305" t="str">
            <v>GE</v>
          </cell>
          <cell r="I1305" t="str">
            <v>ITALIA</v>
          </cell>
          <cell r="J1305" t="str">
            <v>010-6503862</v>
          </cell>
        </row>
        <row r="1306">
          <cell r="B1306">
            <v>7159</v>
          </cell>
          <cell r="C1306" t="str">
            <v>IACHINI FABIANA</v>
          </cell>
          <cell r="D1306" t="str">
            <v>CHNFBN73H45L219 M</v>
          </cell>
          <cell r="E1306" t="str">
            <v>VIA CIRCONVALLAZIONE,  147</v>
          </cell>
          <cell r="F1306">
            <v>10088</v>
          </cell>
          <cell r="G1306" t="str">
            <v>VOLPIANO</v>
          </cell>
          <cell r="H1306" t="str">
            <v>TO</v>
          </cell>
          <cell r="I1306" t="str">
            <v>ITALIA</v>
          </cell>
          <cell r="J1306" t="str">
            <v>334-9795837</v>
          </cell>
        </row>
        <row r="1307">
          <cell r="B1307">
            <v>7208</v>
          </cell>
          <cell r="C1307" t="str">
            <v>IANNELLI ANTONIO</v>
          </cell>
          <cell r="D1307" t="str">
            <v>NNLNTN64L23L447U</v>
          </cell>
          <cell r="E1307" t="str">
            <v>VIA DEGLI ANGELI, 8</v>
          </cell>
          <cell r="F1307">
            <v>28069</v>
          </cell>
          <cell r="G1307" t="str">
            <v>TRECATE</v>
          </cell>
          <cell r="H1307" t="str">
            <v>NO</v>
          </cell>
          <cell r="I1307" t="str">
            <v>ITALIA</v>
          </cell>
          <cell r="J1307" t="str">
            <v>349-5369634</v>
          </cell>
        </row>
        <row r="1308">
          <cell r="B1308">
            <v>7003</v>
          </cell>
          <cell r="C1308" t="str">
            <v>IANNOTTA  GIANDOMENICO</v>
          </cell>
          <cell r="D1308" t="str">
            <v>NNTGDM80H02I197 R</v>
          </cell>
          <cell r="E1308" t="str">
            <v>VIA BIAGIO BELLOTTI, 21</v>
          </cell>
          <cell r="F1308">
            <v>21052</v>
          </cell>
          <cell r="G1308" t="str">
            <v>BUSTO ARSIZIO</v>
          </cell>
          <cell r="H1308" t="str">
            <v>VA</v>
          </cell>
          <cell r="I1308" t="str">
            <v>ITALIA</v>
          </cell>
          <cell r="J1308" t="str">
            <v>342-8317617</v>
          </cell>
        </row>
        <row r="1309">
          <cell r="B1309">
            <v>6535</v>
          </cell>
          <cell r="C1309" t="str">
            <v>IASEVOLI  FRANCESCO</v>
          </cell>
          <cell r="D1309" t="str">
            <v>09927000019 SVLFNC78H12F839E</v>
          </cell>
          <cell r="E1309" t="str">
            <v>VIA TRENTO, 48</v>
          </cell>
          <cell r="F1309">
            <v>10064</v>
          </cell>
          <cell r="G1309" t="str">
            <v>PINEROLO</v>
          </cell>
          <cell r="H1309" t="str">
            <v>TO</v>
          </cell>
          <cell r="I1309" t="str">
            <v>ITALIA</v>
          </cell>
          <cell r="J1309" t="str">
            <v>329-3759899</v>
          </cell>
        </row>
        <row r="1310">
          <cell r="B1310">
            <v>7061</v>
          </cell>
          <cell r="C1310" t="str">
            <v>IAVARAZZO  NICOLETTA</v>
          </cell>
          <cell r="D1310" t="str">
            <v>VRZNLT81A43A512 H</v>
          </cell>
          <cell r="E1310" t="str">
            <v>VIA PRATO DI FIERA, 3/E</v>
          </cell>
          <cell r="F1310">
            <v>31100</v>
          </cell>
          <cell r="G1310" t="str">
            <v>TREVISO</v>
          </cell>
          <cell r="H1310" t="str">
            <v>TV</v>
          </cell>
          <cell r="I1310" t="str">
            <v>ITALIA</v>
          </cell>
          <cell r="J1310" t="str">
            <v>335-6108396</v>
          </cell>
        </row>
        <row r="1311">
          <cell r="B1311">
            <v>6711</v>
          </cell>
          <cell r="C1311" t="str">
            <v>IDEACAFFE DI  PISANTE GIANNI</v>
          </cell>
          <cell r="D1311" t="str">
            <v>03828160980</v>
          </cell>
          <cell r="E1311" t="str">
            <v>VIA ROMA, 17</v>
          </cell>
          <cell r="F1311">
            <v>25030</v>
          </cell>
          <cell r="G1311" t="str">
            <v>CASTELMELLA</v>
          </cell>
          <cell r="H1311" t="str">
            <v>BS</v>
          </cell>
          <cell r="I1311" t="str">
            <v>ITALIA</v>
          </cell>
          <cell r="J1311" t="str">
            <v>320-1117025</v>
          </cell>
        </row>
        <row r="1312">
          <cell r="B1312">
            <v>1591</v>
          </cell>
          <cell r="C1312" t="str">
            <v>IDEAL DRINK S.A.S.  DI FRIGO STEFANO &amp; C.</v>
          </cell>
          <cell r="D1312" t="str">
            <v>01918340900 01918340900</v>
          </cell>
          <cell r="E1312" t="str">
            <v>VIA BALAI, 78/C</v>
          </cell>
          <cell r="F1312">
            <v>7046</v>
          </cell>
          <cell r="G1312" t="str">
            <v>PORTO TORRES</v>
          </cell>
          <cell r="H1312" t="str">
            <v>SS</v>
          </cell>
          <cell r="I1312" t="str">
            <v>ITALIA</v>
          </cell>
          <cell r="J1312" t="str">
            <v>079-515850</v>
          </cell>
        </row>
        <row r="1313">
          <cell r="B1313">
            <v>4584</v>
          </cell>
          <cell r="C1313" t="str">
            <v>IDEAL SERVICE DI  MAZZELLA LUIGI</v>
          </cell>
          <cell r="D1313" t="str">
            <v>11194870017 MZZLGU89B21L727 H</v>
          </cell>
          <cell r="E1313" t="str">
            <v>CORSO IV NOVEMBRE, 25</v>
          </cell>
          <cell r="F1313">
            <v>10070</v>
          </cell>
          <cell r="G1313" t="str">
            <v>CAFASSE</v>
          </cell>
          <cell r="H1313" t="str">
            <v>TO</v>
          </cell>
          <cell r="I1313" t="str">
            <v>ITALIA</v>
          </cell>
          <cell r="J1313" t="str">
            <v>0123-417874</v>
          </cell>
        </row>
        <row r="1314">
          <cell r="B1314">
            <v>1504</v>
          </cell>
          <cell r="C1314" t="str">
            <v>IDRA S.R.L.</v>
          </cell>
          <cell r="D1314" t="str">
            <v>01967650027 01967650027</v>
          </cell>
          <cell r="E1314" t="str">
            <v>VIA EUROPA, 9</v>
          </cell>
          <cell r="F1314">
            <v>13012</v>
          </cell>
          <cell r="G1314" t="str">
            <v>BORGO  VERCELLI</v>
          </cell>
          <cell r="H1314" t="str">
            <v>VC</v>
          </cell>
          <cell r="I1314" t="str">
            <v>ITALIA</v>
          </cell>
          <cell r="J1314" t="str">
            <v>0161-320800</v>
          </cell>
        </row>
        <row r="1315">
          <cell r="B1315">
            <v>7066</v>
          </cell>
          <cell r="C1315" t="str">
            <v>IEZZI GUIDO</v>
          </cell>
          <cell r="D1315" t="str">
            <v>ZZIGDU58C29A488 D</v>
          </cell>
          <cell r="E1315" t="str">
            <v>VIA GABRIELE D' ANNUNZIO, 327</v>
          </cell>
          <cell r="F1315">
            <v>64025</v>
          </cell>
          <cell r="G1315" t="str">
            <v>PINETO</v>
          </cell>
          <cell r="H1315" t="str">
            <v>TE</v>
          </cell>
          <cell r="I1315" t="str">
            <v>ITALIA</v>
          </cell>
          <cell r="J1315"/>
        </row>
        <row r="1316">
          <cell r="B1316">
            <v>3072</v>
          </cell>
          <cell r="C1316" t="str">
            <v>IGAS DI  DALLACQUA R. E D.  S.N.C.</v>
          </cell>
          <cell r="D1316" t="str">
            <v>02033010022 02033010022</v>
          </cell>
          <cell r="E1316" t="str">
            <v>VIA TORINO, 12  -  S.S.  142</v>
          </cell>
          <cell r="F1316">
            <v>13862</v>
          </cell>
          <cell r="G1316" t="str">
            <v>BRUSNENGO</v>
          </cell>
          <cell r="H1316" t="str">
            <v>BI</v>
          </cell>
          <cell r="I1316" t="str">
            <v>ITALIA</v>
          </cell>
          <cell r="J1316" t="str">
            <v>015-985944</v>
          </cell>
        </row>
        <row r="1317">
          <cell r="B1317">
            <v>4796</v>
          </cell>
          <cell r="C1317" t="str">
            <v>IL BUON GUSTO DI  ROBERTA BERTO</v>
          </cell>
          <cell r="D1317" t="str">
            <v>11492880015 BRTRRT73B68L219 C</v>
          </cell>
          <cell r="E1317" t="str">
            <v>VIA SAN GRATO , 10</v>
          </cell>
          <cell r="F1317">
            <v>10088</v>
          </cell>
          <cell r="G1317" t="str">
            <v>VOLPIANO</v>
          </cell>
          <cell r="H1317" t="str">
            <v>TO</v>
          </cell>
          <cell r="I1317" t="str">
            <v>ITALIA</v>
          </cell>
          <cell r="J1317" t="str">
            <v>335-5496140</v>
          </cell>
        </row>
        <row r="1318">
          <cell r="B1318">
            <v>7539</v>
          </cell>
          <cell r="C1318" t="str">
            <v>IL CAFFE' ... CHE  PASSIONE DI  VERONICA MINISI</v>
          </cell>
          <cell r="D1318" t="str">
            <v>02570730032 MNSVNC83A62A429 W</v>
          </cell>
          <cell r="E1318" t="str">
            <v>VIA MARTIRI DELLA  LIBERTA', 13</v>
          </cell>
          <cell r="F1318">
            <v>28040</v>
          </cell>
          <cell r="G1318" t="str">
            <v>VARALLO  POMBIA</v>
          </cell>
          <cell r="H1318" t="str">
            <v>NO</v>
          </cell>
          <cell r="I1318" t="str">
            <v>ITALIA</v>
          </cell>
          <cell r="J1318" t="str">
            <v>349-4645371</v>
          </cell>
        </row>
        <row r="1319">
          <cell r="B1319">
            <v>3572</v>
          </cell>
          <cell r="C1319" t="str">
            <v>IL CAFFE' DI DE  CARLINI MARCO &amp;  C. S.N.C.</v>
          </cell>
          <cell r="D1319" t="str">
            <v>03292210048 03292210048</v>
          </cell>
          <cell r="E1319" t="str">
            <v>VIA XXV APRILE, 4</v>
          </cell>
          <cell r="F1319">
            <v>12018</v>
          </cell>
          <cell r="G1319" t="str">
            <v>ROCCAVIONE</v>
          </cell>
          <cell r="H1319" t="str">
            <v>CN</v>
          </cell>
          <cell r="I1319" t="str">
            <v>ITALIA</v>
          </cell>
          <cell r="J1319" t="str">
            <v>0171-767265</v>
          </cell>
        </row>
        <row r="1320">
          <cell r="B1320">
            <v>1642</v>
          </cell>
          <cell r="C1320" t="str">
            <v>IL CAFFE' DI VILLA  FLORIANO</v>
          </cell>
          <cell r="D1320" t="str">
            <v>02578970135 VLLFRN70D30C933I</v>
          </cell>
          <cell r="E1320" t="str">
            <v>VIA TENTORIO, 4E</v>
          </cell>
          <cell r="F1320">
            <v>22100</v>
          </cell>
          <cell r="G1320" t="str">
            <v>COMO</v>
          </cell>
          <cell r="H1320" t="str">
            <v>CO</v>
          </cell>
          <cell r="I1320" t="str">
            <v>ITALIA</v>
          </cell>
          <cell r="J1320" t="str">
            <v>338-9342796</v>
          </cell>
        </row>
        <row r="1321">
          <cell r="B1321">
            <v>5495</v>
          </cell>
          <cell r="C1321" t="str">
            <v>IL CAFFE' S.A.S. DI CHIAUSSA  TULLIO &amp; C.</v>
          </cell>
          <cell r="D1321" t="str">
            <v>08222080015 08222080015</v>
          </cell>
          <cell r="E1321" t="str">
            <v>VIA SANSOVINO, 225</v>
          </cell>
          <cell r="F1321">
            <v>10151</v>
          </cell>
          <cell r="G1321" t="str">
            <v>TORINO</v>
          </cell>
          <cell r="H1321" t="str">
            <v>TO</v>
          </cell>
          <cell r="I1321" t="str">
            <v>ITALIA</v>
          </cell>
          <cell r="J1321" t="str">
            <v>011-4531110</v>
          </cell>
        </row>
        <row r="1322">
          <cell r="B1322">
            <v>7877</v>
          </cell>
          <cell r="C1322" t="str">
            <v>IL CAFFE' SRLS</v>
          </cell>
          <cell r="E1322" t="str">
            <v>VIA FANTI,1</v>
          </cell>
          <cell r="F1322">
            <v>41049</v>
          </cell>
          <cell r="G1322" t="str">
            <v>SASSUOLO</v>
          </cell>
          <cell r="H1322" t="str">
            <v>MO</v>
          </cell>
          <cell r="I1322" t="str">
            <v>ITALIA</v>
          </cell>
          <cell r="J1322" t="str">
            <v>366-4653864</v>
          </cell>
        </row>
        <row r="1323">
          <cell r="B1323">
            <v>4817</v>
          </cell>
          <cell r="C1323" t="str">
            <v>IL CASCINALE  SOCIETA' SEMPLICE  AGRICOLA</v>
          </cell>
          <cell r="D1323" t="str">
            <v>02592750042 02592750042</v>
          </cell>
          <cell r="E1323" t="str">
            <v>VIA PALEOCAPA, 9/7</v>
          </cell>
          <cell r="F1323">
            <v>17100</v>
          </cell>
          <cell r="G1323" t="str">
            <v>SAVONA</v>
          </cell>
          <cell r="H1323" t="str">
            <v>SV</v>
          </cell>
          <cell r="I1323" t="str">
            <v>ITALIA</v>
          </cell>
          <cell r="J1323" t="str">
            <v>327-7511262</v>
          </cell>
        </row>
        <row r="1324">
          <cell r="B1324">
            <v>4386</v>
          </cell>
          <cell r="C1324" t="str">
            <v>IL CHICCO DEL  CAFFE' DI  CUTRONEO MONICA</v>
          </cell>
          <cell r="D1324" t="str">
            <v>01580740080 CTRMNC75P59I138 R</v>
          </cell>
          <cell r="E1324" t="str">
            <v>VIA ZEFFIRO MASSA, 143</v>
          </cell>
          <cell r="F1324">
            <v>18038</v>
          </cell>
          <cell r="G1324" t="str">
            <v>SANREMO</v>
          </cell>
          <cell r="H1324" t="str">
            <v>IM</v>
          </cell>
          <cell r="I1324" t="str">
            <v>ITALIA</v>
          </cell>
          <cell r="J1324" t="str">
            <v xml:space="preserve">348-2369209 </v>
          </cell>
        </row>
        <row r="1325">
          <cell r="B1325">
            <v>10067</v>
          </cell>
          <cell r="C1325" t="str">
            <v>IL CHICCO DI EA S.R.L.S.</v>
          </cell>
          <cell r="E1325" t="str">
            <v>VIA XX SETTEMBRE, 30R</v>
          </cell>
          <cell r="F1325">
            <v>16121</v>
          </cell>
          <cell r="G1325" t="str">
            <v>GENOVA</v>
          </cell>
          <cell r="H1325" t="str">
            <v>GE</v>
          </cell>
          <cell r="I1325" t="str">
            <v>ITALIA</v>
          </cell>
          <cell r="J1325" t="str">
            <v>010-0955722</v>
          </cell>
        </row>
        <row r="1326">
          <cell r="B1326">
            <v>6801</v>
          </cell>
          <cell r="C1326" t="str">
            <v>IL CHICCO IN  CIALDE DI GALLONI  CLAUDIO GIUSEPPE</v>
          </cell>
          <cell r="D1326" t="str">
            <v>09402280961</v>
          </cell>
          <cell r="E1326" t="str">
            <v>VIA PER CESATE, 3</v>
          </cell>
          <cell r="F1326">
            <v>20024</v>
          </cell>
          <cell r="G1326" t="str">
            <v>GARBAGNATE  MILANESE</v>
          </cell>
          <cell r="H1326" t="str">
            <v>MI</v>
          </cell>
          <cell r="I1326" t="str">
            <v>ITALIA</v>
          </cell>
          <cell r="J1326" t="str">
            <v>351-7864168</v>
          </cell>
        </row>
        <row r="1327">
          <cell r="B1327">
            <v>3164</v>
          </cell>
          <cell r="C1327" t="str">
            <v>IL CHICCO VERDE DI BARLOCCO  ANDREA</v>
          </cell>
          <cell r="D1327" t="str">
            <v>01474370093 BRLNDR83R30C589 G</v>
          </cell>
          <cell r="E1327" t="str">
            <v>BORGATA PIANI, 51</v>
          </cell>
          <cell r="F1327">
            <v>17013</v>
          </cell>
          <cell r="G1327" t="str">
            <v>MURIALDO</v>
          </cell>
          <cell r="H1327" t="str">
            <v>SV</v>
          </cell>
          <cell r="I1327" t="str">
            <v>ITALIA</v>
          </cell>
          <cell r="J1327" t="str">
            <v>019-53717</v>
          </cell>
        </row>
        <row r="1328">
          <cell r="B1328">
            <v>1750</v>
          </cell>
          <cell r="C1328" t="str">
            <v>IL DELFINO S.R.L.</v>
          </cell>
          <cell r="D1328" t="str">
            <v>02327810129 02327810129</v>
          </cell>
          <cell r="E1328" t="str">
            <v>VIA NENNI</v>
          </cell>
          <cell r="F1328">
            <v>21050</v>
          </cell>
          <cell r="G1328" t="str">
            <v>CAIRATE</v>
          </cell>
          <cell r="H1328" t="str">
            <v>VA</v>
          </cell>
          <cell r="I1328" t="str">
            <v>ITALIA</v>
          </cell>
          <cell r="J1328" t="str">
            <v>335-6278433</v>
          </cell>
        </row>
        <row r="1329">
          <cell r="B1329">
            <v>7408</v>
          </cell>
          <cell r="C1329" t="str">
            <v>IL GHIOTTONE S.R.L.</v>
          </cell>
          <cell r="D1329" t="str">
            <v>02036240139</v>
          </cell>
          <cell r="E1329" t="str">
            <v>VIA VARESE, 136/138</v>
          </cell>
          <cell r="F1329">
            <v>22076</v>
          </cell>
          <cell r="G1329" t="str">
            <v>MOZZATE</v>
          </cell>
          <cell r="H1329" t="str">
            <v>CO</v>
          </cell>
          <cell r="I1329" t="str">
            <v>ITALIA</v>
          </cell>
          <cell r="J1329" t="str">
            <v>320-9178658</v>
          </cell>
        </row>
        <row r="1330">
          <cell r="B1330">
            <v>8408</v>
          </cell>
          <cell r="C1330" t="str">
            <v>IL GHIOTTONE S.R.L. VIA LOMAZZO, 30 OLGIATE COMASCO</v>
          </cell>
          <cell r="E1330" t="str">
            <v>VIA LOMAZZO, 30</v>
          </cell>
          <cell r="F1330">
            <v>22077</v>
          </cell>
          <cell r="G1330" t="str">
            <v>OLGIATE COMASCO</v>
          </cell>
          <cell r="H1330" t="str">
            <v>CO</v>
          </cell>
          <cell r="I1330" t="str">
            <v>ITALIA</v>
          </cell>
          <cell r="J1330" t="str">
            <v>320-9178658</v>
          </cell>
        </row>
        <row r="1331">
          <cell r="B1331">
            <v>6699</v>
          </cell>
          <cell r="C1331" t="str">
            <v>IL GUSCIO CENTER  S.R.L.</v>
          </cell>
          <cell r="D1331" t="str">
            <v>12491750159 12491750159</v>
          </cell>
          <cell r="E1331" t="str">
            <v>VIA EINAUDI, 32</v>
          </cell>
          <cell r="F1331">
            <v>20060</v>
          </cell>
          <cell r="G1331" t="str">
            <v>PESSANO CON  BORNAGO</v>
          </cell>
          <cell r="H1331" t="str">
            <v>MI</v>
          </cell>
          <cell r="I1331" t="str">
            <v>ITALIA</v>
          </cell>
          <cell r="J1331" t="str">
            <v xml:space="preserve">02-95741316 </v>
          </cell>
        </row>
        <row r="1332">
          <cell r="B1332">
            <v>6514</v>
          </cell>
          <cell r="C1332" t="str">
            <v>IL LOTO DEI SAPORI  DI BOSIO S.</v>
          </cell>
          <cell r="D1332" t="str">
            <v>10849790018 BSOSLV90D29F335 V</v>
          </cell>
          <cell r="E1332" t="str">
            <v>STR. GENOVA, 261 BIS</v>
          </cell>
          <cell r="F1332">
            <v>10024</v>
          </cell>
          <cell r="G1332" t="str">
            <v>MONCALIERI</v>
          </cell>
          <cell r="H1332" t="str">
            <v>TO</v>
          </cell>
          <cell r="I1332" t="str">
            <v>ITALIA</v>
          </cell>
          <cell r="J1332" t="str">
            <v>393-1087316</v>
          </cell>
        </row>
        <row r="1333">
          <cell r="B1333">
            <v>3423</v>
          </cell>
          <cell r="C1333" t="str">
            <v>IL MANDORLO DI  BAUDINO CARLO &amp;  C. SNC</v>
          </cell>
          <cell r="D1333" t="str">
            <v>03200360018 03200360018</v>
          </cell>
          <cell r="E1333" t="str">
            <v>VIA CHIVASSO, 24</v>
          </cell>
          <cell r="F1333">
            <v>10080</v>
          </cell>
          <cell r="G1333" t="str">
            <v>SAN BENIGNO  CANAVESE</v>
          </cell>
          <cell r="H1333" t="str">
            <v>TO</v>
          </cell>
          <cell r="I1333" t="str">
            <v>ITALIA</v>
          </cell>
          <cell r="J1333" t="str">
            <v>011-9959454</v>
          </cell>
        </row>
        <row r="1334">
          <cell r="B1334">
            <v>9632</v>
          </cell>
          <cell r="C1334" t="str">
            <v>IL MASSIMO DEL CAFFE' S.R.L.S.</v>
          </cell>
          <cell r="E1334" t="str">
            <v>VIA CARMINE, 72/A</v>
          </cell>
          <cell r="F1334" t="str">
            <v>09032</v>
          </cell>
          <cell r="G1334" t="str">
            <v>ASSEMINI</v>
          </cell>
          <cell r="H1334" t="str">
            <v>CA</v>
          </cell>
          <cell r="I1334" t="str">
            <v>ITALIA</v>
          </cell>
        </row>
        <row r="1335">
          <cell r="B1335">
            <v>4421</v>
          </cell>
          <cell r="C1335" t="str">
            <v>IL MIO CAFFE'  ROSSINI S.R.L.</v>
          </cell>
          <cell r="D1335" t="str">
            <v>03335340042 03335340042</v>
          </cell>
          <cell r="E1335" t="str">
            <v>VIA PARUZZA, 36</v>
          </cell>
          <cell r="F1335">
            <v>12051</v>
          </cell>
          <cell r="G1335" t="str">
            <v>ALBA</v>
          </cell>
          <cell r="H1335" t="str">
            <v>CN</v>
          </cell>
          <cell r="I1335" t="str">
            <v>ITALIA</v>
          </cell>
          <cell r="J1335" t="str">
            <v>338-5097434</v>
          </cell>
        </row>
        <row r="1336">
          <cell r="B1336">
            <v>4755</v>
          </cell>
          <cell r="C1336" t="str">
            <v>IL MONDO DEL  GUSTO DI RIVAROLI  MELISSA</v>
          </cell>
          <cell r="D1336" t="str">
            <v>02463980207 RVRMSS87P67C312 Q</v>
          </cell>
          <cell r="E1336" t="str">
            <v>PIAZZA MATTEOTTI, 3</v>
          </cell>
          <cell r="F1336">
            <v>46042</v>
          </cell>
          <cell r="G1336" t="str">
            <v>CASTELGOFFRED O</v>
          </cell>
          <cell r="H1336" t="str">
            <v>MN</v>
          </cell>
          <cell r="I1336" t="str">
            <v>ITALIA</v>
          </cell>
          <cell r="J1336" t="str">
            <v xml:space="preserve">0376-771594 </v>
          </cell>
        </row>
        <row r="1337">
          <cell r="B1337">
            <v>6569</v>
          </cell>
          <cell r="C1337" t="str">
            <v>IL MONDO DELLA  CIALDA DI TIVANO  ANNA MARIA</v>
          </cell>
          <cell r="D1337" t="str">
            <v>11367170013 TVNNMR46C68B777 I</v>
          </cell>
          <cell r="E1337" t="str">
            <v>VIA XXV APRILE, 6</v>
          </cell>
          <cell r="F1337">
            <v>10042</v>
          </cell>
          <cell r="G1337" t="str">
            <v>NICHELINO</v>
          </cell>
          <cell r="H1337" t="str">
            <v>TO</v>
          </cell>
          <cell r="I1337" t="str">
            <v>ITALIA</v>
          </cell>
          <cell r="J1337" t="str">
            <v>338-5485688</v>
          </cell>
        </row>
        <row r="1338">
          <cell r="B1338">
            <v>7964</v>
          </cell>
          <cell r="C1338" t="str">
            <v>IL MONDO DI FRA DI CURCI FRANCESCA</v>
          </cell>
          <cell r="E1338" t="str">
            <v>VIA ROMA, 17</v>
          </cell>
          <cell r="F1338">
            <v>21035</v>
          </cell>
          <cell r="G1338" t="str">
            <v>CUNARDO</v>
          </cell>
          <cell r="H1338" t="str">
            <v>VA</v>
          </cell>
          <cell r="I1338" t="str">
            <v>ITALIA</v>
          </cell>
          <cell r="J1338" t="str">
            <v>340-5252521</v>
          </cell>
        </row>
        <row r="1339">
          <cell r="B1339">
            <v>6594</v>
          </cell>
          <cell r="C1339" t="str">
            <v>IL PARADISO DELLA  CIALDA</v>
          </cell>
          <cell r="D1339" t="str">
            <v>09828400961 MROSRA88R44D198 V</v>
          </cell>
          <cell r="E1339" t="str">
            <v>VIA VOLTA, 68</v>
          </cell>
          <cell r="F1339">
            <v>20013</v>
          </cell>
          <cell r="G1339" t="str">
            <v>MAGENTA</v>
          </cell>
          <cell r="H1339" t="str">
            <v>MI</v>
          </cell>
          <cell r="I1339" t="str">
            <v>ITALIA</v>
          </cell>
          <cell r="J1339" t="str">
            <v>349-3641266</v>
          </cell>
        </row>
        <row r="1340">
          <cell r="B1340">
            <v>4462</v>
          </cell>
          <cell r="C1340" t="str">
            <v>IL PASTINO S.N.C.  DI ARDISSONE N.&amp;  C.</v>
          </cell>
          <cell r="D1340" t="str">
            <v>10065270018 10065270018</v>
          </cell>
          <cell r="E1340" t="str">
            <v>VIA CAMOGLI, 11/12</v>
          </cell>
          <cell r="F1340">
            <v>10098</v>
          </cell>
          <cell r="G1340" t="str">
            <v>CASCINE VICA</v>
          </cell>
          <cell r="H1340" t="str">
            <v>TO</v>
          </cell>
          <cell r="I1340" t="str">
            <v>ITALIA</v>
          </cell>
        </row>
        <row r="1341">
          <cell r="B1341">
            <v>4207</v>
          </cell>
          <cell r="C1341" t="str">
            <v>IL PIAZZALE S.A.S.</v>
          </cell>
          <cell r="D1341" t="str">
            <v>06531810015 06531810015</v>
          </cell>
          <cell r="E1341" t="str">
            <v>STRADA CORIO, 78</v>
          </cell>
          <cell r="F1341">
            <v>10070</v>
          </cell>
          <cell r="G1341" t="str">
            <v>SAN CARLO  CANAVESE</v>
          </cell>
          <cell r="H1341" t="str">
            <v>TO</v>
          </cell>
          <cell r="I1341" t="str">
            <v>ITALIA</v>
          </cell>
          <cell r="J1341" t="str">
            <v>011-9215763</v>
          </cell>
        </row>
        <row r="1342">
          <cell r="B1342">
            <v>4506</v>
          </cell>
          <cell r="C1342" t="str">
            <v>IL PUNTO CAFFE' DI  MATTEO MEIRANA</v>
          </cell>
          <cell r="D1342" t="str">
            <v>02397460060 MRNMTT90M20D969 L</v>
          </cell>
          <cell r="E1342" t="str">
            <v>VIA OVADA, 37</v>
          </cell>
          <cell r="F1342">
            <v>15067</v>
          </cell>
          <cell r="G1342" t="str">
            <v>NOVI LIGURE</v>
          </cell>
          <cell r="H1342" t="str">
            <v>AL</v>
          </cell>
          <cell r="I1342" t="str">
            <v>ITALIA</v>
          </cell>
          <cell r="J1342" t="str">
            <v>335-6549664</v>
          </cell>
        </row>
        <row r="1343">
          <cell r="B1343">
            <v>6545</v>
          </cell>
          <cell r="C1343" t="str">
            <v>IL RIFUGIO DEL  CAFFE' DI GAFFUINI  PAOLA</v>
          </cell>
          <cell r="D1343" t="str">
            <v>03777430988</v>
          </cell>
          <cell r="E1343" t="str">
            <v>VIA G.PAOLO II, 45</v>
          </cell>
          <cell r="F1343">
            <v>25020</v>
          </cell>
          <cell r="G1343" t="str">
            <v>AZZANO MELLA</v>
          </cell>
          <cell r="H1343" t="str">
            <v>BS</v>
          </cell>
          <cell r="I1343" t="str">
            <v>ITALIA</v>
          </cell>
          <cell r="J1343" t="str">
            <v xml:space="preserve">347-4878013 </v>
          </cell>
        </row>
        <row r="1344">
          <cell r="B1344">
            <v>3997</v>
          </cell>
          <cell r="C1344" t="str">
            <v>IL RISTORO S.R.L.</v>
          </cell>
          <cell r="D1344" t="str">
            <v>01340100112 01340100112</v>
          </cell>
          <cell r="E1344" t="str">
            <v>VIA FRATELLI ROSSELLI,  20</v>
          </cell>
          <cell r="F1344">
            <v>19021</v>
          </cell>
          <cell r="G1344" t="str">
            <v>ARCOLA</v>
          </cell>
          <cell r="H1344" t="str">
            <v>SP</v>
          </cell>
          <cell r="I1344" t="str">
            <v>ITALIA</v>
          </cell>
          <cell r="J1344" t="str">
            <v>0187-986505</v>
          </cell>
        </row>
        <row r="1345">
          <cell r="B1345">
            <v>3999</v>
          </cell>
          <cell r="C1345" t="str">
            <v>IL RISTORO S.R.L.</v>
          </cell>
          <cell r="E1345" t="str">
            <v>VIA REGNO UNITO, 11/12</v>
          </cell>
          <cell r="F1345">
            <v>56032</v>
          </cell>
          <cell r="G1345" t="str">
            <v>BUTI</v>
          </cell>
          <cell r="H1345" t="str">
            <v>PI</v>
          </cell>
          <cell r="I1345" t="str">
            <v>ITALIA</v>
          </cell>
          <cell r="J1345" t="str">
            <v>0187-986505</v>
          </cell>
        </row>
        <row r="1346">
          <cell r="B1346">
            <v>6504</v>
          </cell>
          <cell r="C1346" t="str">
            <v>IL VILLAGGIO DI  SMILE DI  ELISABETTA DATA</v>
          </cell>
          <cell r="D1346" t="str">
            <v>09644900012 DTALBT81R64L219I</v>
          </cell>
          <cell r="E1346" t="str">
            <v>VIA VASSALLI EANDI, 26  BIS</v>
          </cell>
          <cell r="F1346">
            <v>10138</v>
          </cell>
          <cell r="G1346" t="str">
            <v>TORINO</v>
          </cell>
          <cell r="H1346" t="str">
            <v>TO</v>
          </cell>
          <cell r="I1346" t="str">
            <v>ITALIA</v>
          </cell>
          <cell r="J1346" t="str">
            <v>011-19922681</v>
          </cell>
        </row>
        <row r="1347">
          <cell r="B1347">
            <v>3443</v>
          </cell>
          <cell r="C1347" t="str">
            <v>IM INTERNATIONAL  S.R.L.</v>
          </cell>
          <cell r="D1347" t="str">
            <v>03325740169 03325740169</v>
          </cell>
          <cell r="E1347" t="str">
            <v>VIA CARDUCCI, 26</v>
          </cell>
          <cell r="F1347">
            <v>24124</v>
          </cell>
          <cell r="G1347" t="str">
            <v>BERGAMO</v>
          </cell>
          <cell r="H1347" t="str">
            <v>BG</v>
          </cell>
          <cell r="I1347" t="str">
            <v>ITALIA</v>
          </cell>
          <cell r="J1347" t="str">
            <v>342-3794700</v>
          </cell>
        </row>
        <row r="1348">
          <cell r="B1348">
            <v>4953</v>
          </cell>
          <cell r="C1348" t="str">
            <v>IMAC S.R.L.</v>
          </cell>
          <cell r="D1348" t="str">
            <v>10313850017 10313850017</v>
          </cell>
          <cell r="E1348" t="str">
            <v>VIA VESPUCCI, 69</v>
          </cell>
          <cell r="F1348">
            <v>10129</v>
          </cell>
          <cell r="G1348" t="str">
            <v>TORINO</v>
          </cell>
          <cell r="H1348" t="str">
            <v>TO</v>
          </cell>
          <cell r="I1348" t="str">
            <v>ITALIA</v>
          </cell>
          <cell r="J1348" t="str">
            <v>011-9951814</v>
          </cell>
        </row>
        <row r="1349">
          <cell r="B1349">
            <v>2389</v>
          </cell>
          <cell r="C1349" t="str">
            <v>IMBALLAGGI INVERNIZI</v>
          </cell>
          <cell r="E1349" t="str">
            <v>VIA DELLA GANDINA, 24</v>
          </cell>
          <cell r="F1349">
            <v>20060</v>
          </cell>
          <cell r="G1349" t="str">
            <v>TREZZANO ROSA</v>
          </cell>
          <cell r="H1349" t="str">
            <v>MI</v>
          </cell>
          <cell r="I1349" t="str">
            <v>ITALIA</v>
          </cell>
          <cell r="J1349" t="str">
            <v>02-90960340</v>
          </cell>
        </row>
        <row r="1350">
          <cell r="B1350">
            <v>4318</v>
          </cell>
          <cell r="C1350" t="str">
            <v>IMEA CAFFE' DI  CAROZZANI MARCO (C. MADERNO)</v>
          </cell>
          <cell r="D1350" t="str">
            <v>03441290131 CRZMRC70S06I625 T</v>
          </cell>
          <cell r="E1350" t="str">
            <v>VIA A. VOLTA, 63</v>
          </cell>
          <cell r="F1350">
            <v>20814</v>
          </cell>
          <cell r="G1350" t="str">
            <v>CESANO MADERNO</v>
          </cell>
          <cell r="H1350" t="str">
            <v>MB</v>
          </cell>
          <cell r="I1350" t="str">
            <v>ITALIA</v>
          </cell>
          <cell r="J1350" t="str">
            <v>031-2070486</v>
          </cell>
        </row>
        <row r="1351">
          <cell r="B1351">
            <v>4300</v>
          </cell>
          <cell r="C1351" t="str">
            <v>IMEA CAFFE' DI CARROZZANI MARCO (CARUGO)</v>
          </cell>
          <cell r="E1351" t="str">
            <v>VIA ENRICO TOTI, 46</v>
          </cell>
          <cell r="F1351">
            <v>22060</v>
          </cell>
          <cell r="G1351" t="str">
            <v>CARUGO</v>
          </cell>
          <cell r="H1351" t="str">
            <v>CO</v>
          </cell>
          <cell r="I1351" t="str">
            <v>ITALIA</v>
          </cell>
        </row>
        <row r="1352">
          <cell r="B1352">
            <v>4321</v>
          </cell>
          <cell r="C1352" t="str">
            <v>IMEA CAFFE' DI CARROZZANI MARCO (VAREDO)</v>
          </cell>
          <cell r="E1352" t="str">
            <v>VIA COMO, 26</v>
          </cell>
          <cell r="F1352">
            <v>20814</v>
          </cell>
          <cell r="G1352" t="str">
            <v>VAREDO</v>
          </cell>
          <cell r="H1352" t="str">
            <v>MB</v>
          </cell>
          <cell r="I1352" t="str">
            <v>ITALIA</v>
          </cell>
        </row>
        <row r="1353">
          <cell r="B1353">
            <v>775</v>
          </cell>
          <cell r="C1353" t="str">
            <v>IMMA DI  MARAZZI MASSIMO</v>
          </cell>
          <cell r="D1353" t="str">
            <v>10933640152 MRZMSM72R18H264 M</v>
          </cell>
          <cell r="E1353" t="str">
            <v>VIA A. RIGHI, 13/15</v>
          </cell>
          <cell r="F1353">
            <v>20015</v>
          </cell>
          <cell r="G1353" t="str">
            <v>PARABIAGO</v>
          </cell>
          <cell r="H1353" t="str">
            <v>MI</v>
          </cell>
          <cell r="I1353" t="str">
            <v>ITALIA</v>
          </cell>
          <cell r="J1353" t="str">
            <v>0331-558153</v>
          </cell>
        </row>
        <row r="1354">
          <cell r="B1354">
            <v>7266</v>
          </cell>
          <cell r="C1354" t="str">
            <v>IMPIERI STEFANO</v>
          </cell>
          <cell r="D1354" t="str">
            <v>MPRSFN79A18G388 Q</v>
          </cell>
          <cell r="E1354" t="str">
            <v>VIA ENRICO FERMI 9</v>
          </cell>
          <cell r="F1354">
            <v>27053</v>
          </cell>
          <cell r="G1354" t="str">
            <v>LUNGAVILLA</v>
          </cell>
          <cell r="H1354" t="str">
            <v>PV</v>
          </cell>
          <cell r="I1354" t="str">
            <v>ITALIA</v>
          </cell>
          <cell r="J1354" t="str">
            <v>329-8926277</v>
          </cell>
        </row>
        <row r="1355">
          <cell r="B1355">
            <v>4963</v>
          </cell>
          <cell r="C1355" t="str">
            <v>IMPRESA  STURNIOLO DI  SACCO ANNIBALE</v>
          </cell>
          <cell r="D1355" t="str">
            <v>07032370012 SCCNBL69B11H775 I</v>
          </cell>
          <cell r="E1355" t="str">
            <v>VIA SAN MARTINO, 38</v>
          </cell>
          <cell r="F1355">
            <v>10080</v>
          </cell>
          <cell r="G1355" t="str">
            <v>SAN BENIGNO  CANAVESE</v>
          </cell>
          <cell r="H1355" t="str">
            <v>TO</v>
          </cell>
          <cell r="I1355" t="str">
            <v>ITALIA</v>
          </cell>
          <cell r="J1355" t="str">
            <v>393-0074811</v>
          </cell>
        </row>
        <row r="1356">
          <cell r="B1356">
            <v>6862</v>
          </cell>
          <cell r="C1356" t="str">
            <v>IMPRESA EDILE  VENTURA CARLO</v>
          </cell>
          <cell r="D1356" t="str">
            <v>03492980796 VNTCRL94C28D122 P</v>
          </cell>
          <cell r="E1356" t="str">
            <v>VIA TRAVERSA PRIMA  DELLE ORCHIDEE, 2</v>
          </cell>
          <cell r="F1356">
            <v>88900</v>
          </cell>
          <cell r="G1356" t="str">
            <v>CROTONE</v>
          </cell>
          <cell r="H1356" t="str">
            <v>KR</v>
          </cell>
          <cell r="I1356" t="str">
            <v>ITALIA</v>
          </cell>
          <cell r="J1356" t="str">
            <v>320-0626370</v>
          </cell>
        </row>
        <row r="1357">
          <cell r="B1357">
            <v>7078</v>
          </cell>
          <cell r="C1357" t="str">
            <v>INCARDONA  MAURIZIO</v>
          </cell>
          <cell r="D1357" t="str">
            <v>06540080014 NCRMRZ62B05L219 N</v>
          </cell>
          <cell r="E1357" t="str">
            <v>VIA E. VACCHIERI, 5</v>
          </cell>
          <cell r="F1357">
            <v>10093</v>
          </cell>
          <cell r="G1357" t="str">
            <v>COLLEGNO</v>
          </cell>
          <cell r="H1357" t="str">
            <v>TO</v>
          </cell>
          <cell r="I1357" t="str">
            <v>ITALIA</v>
          </cell>
          <cell r="J1357" t="str">
            <v>333-3463613</v>
          </cell>
        </row>
        <row r="1358">
          <cell r="B1358">
            <v>4102</v>
          </cell>
          <cell r="C1358" t="str">
            <v>INCISA  CARROZZERIA S.A. S.</v>
          </cell>
          <cell r="D1358" t="str">
            <v>00873520050 00873520050</v>
          </cell>
          <cell r="E1358" t="str">
            <v>REG. PRATA, 49</v>
          </cell>
          <cell r="F1358">
            <v>14045</v>
          </cell>
          <cell r="G1358" t="str">
            <v>INCISA  SCAPACCINO</v>
          </cell>
          <cell r="H1358" t="str">
            <v>AT</v>
          </cell>
          <cell r="I1358" t="str">
            <v>ITALIA</v>
          </cell>
          <cell r="J1358" t="str">
            <v>0141-74236</v>
          </cell>
        </row>
        <row r="1359">
          <cell r="B1359">
            <v>4294</v>
          </cell>
          <cell r="C1359" t="str">
            <v>INDIAN S.R.L.</v>
          </cell>
          <cell r="D1359" t="str">
            <v>10774300015 10774300015</v>
          </cell>
          <cell r="E1359" t="str">
            <v>VIA DON CAMILLO  FERRERO</v>
          </cell>
          <cell r="F1359">
            <v>10090</v>
          </cell>
          <cell r="G1359" t="str">
            <v>GASSINO  TORINESE</v>
          </cell>
          <cell r="H1359" t="str">
            <v>TO</v>
          </cell>
          <cell r="I1359" t="str">
            <v>ITALIA</v>
          </cell>
          <cell r="J1359" t="str">
            <v>335-7504547</v>
          </cell>
        </row>
        <row r="1360">
          <cell r="B1360">
            <v>6625</v>
          </cell>
          <cell r="C1360" t="str">
            <v>ING. VITO  BRAGANTE SRL</v>
          </cell>
          <cell r="D1360" t="str">
            <v>02564850028 02564850028</v>
          </cell>
          <cell r="E1360" t="str">
            <v>VIA VERCELLI, 11</v>
          </cell>
          <cell r="F1360">
            <v>13012</v>
          </cell>
          <cell r="G1360" t="str">
            <v>BORGO  VERCELLI</v>
          </cell>
          <cell r="H1360" t="str">
            <v>VC</v>
          </cell>
          <cell r="I1360" t="str">
            <v>ITALIA</v>
          </cell>
          <cell r="J1360" t="str">
            <v xml:space="preserve">0161-32515 </v>
          </cell>
        </row>
        <row r="1361">
          <cell r="B1361">
            <v>6945</v>
          </cell>
          <cell r="C1361" t="str">
            <v>INGARAMO LORENA</v>
          </cell>
          <cell r="D1361" t="str">
            <v>NGRLRN84L58B111 P</v>
          </cell>
          <cell r="E1361" t="str">
            <v>VIA GARIBALDI, 41</v>
          </cell>
          <cell r="F1361">
            <v>12030</v>
          </cell>
          <cell r="G1361" t="str">
            <v>CARAMAGNA  PIEMONTE</v>
          </cell>
          <cell r="H1361" t="str">
            <v>CN</v>
          </cell>
          <cell r="I1361" t="str">
            <v>ITALIA</v>
          </cell>
          <cell r="J1361" t="str">
            <v>333-3910220</v>
          </cell>
        </row>
        <row r="1362">
          <cell r="B1362">
            <v>4874</v>
          </cell>
          <cell r="C1362" t="str">
            <v>INGRID FIORI S.A.S  &amp; C. DI AAMOT  INGRID ARMIDA</v>
          </cell>
          <cell r="D1362" t="str">
            <v>11438510015 11438510015</v>
          </cell>
          <cell r="E1362" t="str">
            <v>PIAZZA P. EUGENIO 3/B</v>
          </cell>
          <cell r="F1362">
            <v>10098</v>
          </cell>
          <cell r="G1362" t="str">
            <v>RIVOLI</v>
          </cell>
          <cell r="H1362" t="str">
            <v>TO</v>
          </cell>
          <cell r="I1362" t="str">
            <v>ITALIA</v>
          </cell>
          <cell r="J1362" t="str">
            <v>011-9536659</v>
          </cell>
        </row>
        <row r="1363">
          <cell r="B1363">
            <v>3868</v>
          </cell>
          <cell r="C1363" t="str">
            <v>INSERT COIN DI  PANICALI MATTEO</v>
          </cell>
          <cell r="D1363" t="str">
            <v>10472430015 PNCMTT80E09G479 C</v>
          </cell>
          <cell r="E1363" t="str">
            <v>LARGO GIULIO CESARE,  111/C</v>
          </cell>
          <cell r="F1363">
            <v>10155</v>
          </cell>
          <cell r="G1363" t="str">
            <v>TORINO</v>
          </cell>
          <cell r="H1363" t="str">
            <v>TO</v>
          </cell>
          <cell r="I1363" t="str">
            <v>ITALIA</v>
          </cell>
          <cell r="J1363" t="str">
            <v>320-8544015</v>
          </cell>
        </row>
        <row r="1364">
          <cell r="B1364">
            <v>3878</v>
          </cell>
          <cell r="C1364" t="str">
            <v>INSERT COIN L.S.D.</v>
          </cell>
          <cell r="D1364" t="str">
            <v>06862990964 06862990964</v>
          </cell>
          <cell r="E1364" t="str">
            <v>VIA ZANOLI, 15</v>
          </cell>
          <cell r="F1364">
            <v>20161</v>
          </cell>
          <cell r="G1364" t="str">
            <v>MILANO</v>
          </cell>
          <cell r="H1364" t="str">
            <v>MI</v>
          </cell>
          <cell r="I1364" t="str">
            <v>ITALIA</v>
          </cell>
          <cell r="J1364" t="str">
            <v>347-9765084</v>
          </cell>
        </row>
        <row r="1365">
          <cell r="B1365">
            <v>4972</v>
          </cell>
          <cell r="C1365" t="str">
            <v>INSTALL-LAND S.R.L.</v>
          </cell>
          <cell r="D1365" t="str">
            <v>02338900182 02338900182</v>
          </cell>
          <cell r="E1365" t="str">
            <v>VIA DEL COMMERCIO, 39</v>
          </cell>
          <cell r="F1365">
            <v>20083</v>
          </cell>
          <cell r="G1365" t="str">
            <v>VIGANO DI  GAGGIANO</v>
          </cell>
          <cell r="H1365" t="str">
            <v>MI</v>
          </cell>
          <cell r="I1365" t="str">
            <v>ITALIA</v>
          </cell>
          <cell r="J1365" t="str">
            <v xml:space="preserve">02-9086673 </v>
          </cell>
        </row>
        <row r="1366">
          <cell r="B1366">
            <v>6466</v>
          </cell>
          <cell r="C1366" t="str">
            <v>INSULTECH S.R.L.</v>
          </cell>
          <cell r="D1366" t="str">
            <v>06531250964 06531250964</v>
          </cell>
          <cell r="E1366" t="str">
            <v>VIA DELLA PUSTERLA, 27</v>
          </cell>
          <cell r="F1366">
            <v>20826</v>
          </cell>
          <cell r="G1366" t="str">
            <v>MISINTO</v>
          </cell>
          <cell r="H1366" t="str">
            <v>MB</v>
          </cell>
          <cell r="I1366" t="str">
            <v>ITALIA</v>
          </cell>
          <cell r="J1366" t="str">
            <v>02-96321083</v>
          </cell>
        </row>
        <row r="1367">
          <cell r="B1367">
            <v>5155</v>
          </cell>
          <cell r="C1367" t="str">
            <v>INTER.COM. S.R.L.</v>
          </cell>
          <cell r="D1367" t="str">
            <v>07638330014 07638330014</v>
          </cell>
          <cell r="E1367" t="str">
            <v>CORSO FRANCIA, 2 BIS</v>
          </cell>
          <cell r="F1367">
            <v>10143</v>
          </cell>
          <cell r="G1367" t="str">
            <v>TORINO</v>
          </cell>
          <cell r="H1367" t="str">
            <v>TO</v>
          </cell>
          <cell r="I1367" t="str">
            <v>ITALIA</v>
          </cell>
          <cell r="J1367" t="str">
            <v>011-4813611</v>
          </cell>
        </row>
        <row r="1368">
          <cell r="B1368">
            <v>4212</v>
          </cell>
          <cell r="C1368" t="str">
            <v>INTERCOPIA S.A.S.</v>
          </cell>
          <cell r="D1368" t="str">
            <v>10732780019 10732780019</v>
          </cell>
          <cell r="E1368" t="str">
            <v>STRADA DEI BIASONI,  39/12A</v>
          </cell>
          <cell r="F1368">
            <v>10156</v>
          </cell>
          <cell r="G1368" t="str">
            <v>TORINO</v>
          </cell>
          <cell r="H1368" t="str">
            <v>TO</v>
          </cell>
          <cell r="I1368" t="str">
            <v>ITALIA</v>
          </cell>
          <cell r="J1368" t="str">
            <v xml:space="preserve">011-2741217 </v>
          </cell>
        </row>
        <row r="1369">
          <cell r="B1369">
            <v>4395</v>
          </cell>
          <cell r="C1369" t="str">
            <v>INTERMACO DI  BURBASSI  ARTASERSE</v>
          </cell>
          <cell r="D1369" t="str">
            <v>00458410370 BRBRSR31C26D458 Z</v>
          </cell>
          <cell r="E1369" t="str">
            <v>VIA AMENDOLA, 16</v>
          </cell>
          <cell r="F1369">
            <v>40121</v>
          </cell>
          <cell r="G1369" t="str">
            <v>BOLOGNA</v>
          </cell>
          <cell r="H1369" t="str">
            <v>BO</v>
          </cell>
          <cell r="I1369" t="str">
            <v>ITALIA</v>
          </cell>
          <cell r="J1369" t="str">
            <v>051-255492</v>
          </cell>
        </row>
        <row r="1370">
          <cell r="B1370">
            <v>3156</v>
          </cell>
          <cell r="C1370" t="str">
            <v>INTRA HOTEL S.R.L.</v>
          </cell>
          <cell r="D1370" t="str">
            <v>01312330036 01312330036</v>
          </cell>
          <cell r="E1370" t="str">
            <v>CORSO MAMELI, 133</v>
          </cell>
          <cell r="F1370">
            <v>28921</v>
          </cell>
          <cell r="G1370" t="str">
            <v>VERBANIA INTRA</v>
          </cell>
          <cell r="H1370" t="str">
            <v>VB</v>
          </cell>
          <cell r="I1370" t="str">
            <v>ITALIA</v>
          </cell>
        </row>
        <row r="1371">
          <cell r="B1371">
            <v>4392</v>
          </cell>
          <cell r="C1371" t="str">
            <v>IQ VENDING</v>
          </cell>
          <cell r="D1371" t="str">
            <v>289525316</v>
          </cell>
          <cell r="E1371" t="str">
            <v>BENZSTRASSE, 7</v>
          </cell>
          <cell r="F1371">
            <v>85551</v>
          </cell>
          <cell r="G1371" t="str">
            <v>KIRCHHEIM -  GERMANIA -</v>
          </cell>
          <cell r="I1371" t="str">
            <v>GERMANIA</v>
          </cell>
          <cell r="J1371" t="str">
            <v>0049- 8990776622</v>
          </cell>
        </row>
        <row r="1372">
          <cell r="B1372">
            <v>6459</v>
          </cell>
          <cell r="C1372" t="str">
            <v>IRELI S.R.L.</v>
          </cell>
          <cell r="D1372" t="str">
            <v>11598590013 11598590013</v>
          </cell>
          <cell r="E1372" t="str">
            <v>VIA UMBERTO GIORDANO, 12</v>
          </cell>
          <cell r="F1372">
            <v>10154</v>
          </cell>
          <cell r="G1372" t="str">
            <v>TORINO</v>
          </cell>
          <cell r="H1372" t="str">
            <v>TO</v>
          </cell>
          <cell r="I1372" t="str">
            <v>ITALIA</v>
          </cell>
          <cell r="J1372" t="str">
            <v>328-7879562</v>
          </cell>
        </row>
        <row r="1373">
          <cell r="B1373">
            <v>4332</v>
          </cell>
          <cell r="C1373" t="str">
            <v>IST. MISSIONARIO SC. APOSTOLICA DEL SACRO CUORE</v>
          </cell>
          <cell r="D1373" t="str">
            <v>01277420160 80025990161</v>
          </cell>
          <cell r="E1373" t="str">
            <v>VIA P.L. DEHON. 1</v>
          </cell>
          <cell r="F1373">
            <v>24021</v>
          </cell>
          <cell r="G1373" t="str">
            <v>ALBINO</v>
          </cell>
          <cell r="H1373" t="str">
            <v>BG</v>
          </cell>
          <cell r="I1373" t="str">
            <v>ITALIA</v>
          </cell>
        </row>
        <row r="1374">
          <cell r="B1374">
            <v>5273</v>
          </cell>
          <cell r="C1374" t="str">
            <v>IST. SUORE MINIME DI NOSTRA SIG.RA DEL SUFFRAGIO</v>
          </cell>
          <cell r="D1374" t="str">
            <v>01766190019 01766190019</v>
          </cell>
          <cell r="E1374" t="str">
            <v>VIA SAN DONATO, 31</v>
          </cell>
          <cell r="F1374">
            <v>10144</v>
          </cell>
          <cell r="G1374" t="str">
            <v>TORINO</v>
          </cell>
          <cell r="H1374" t="str">
            <v>TO</v>
          </cell>
          <cell r="I1374" t="str">
            <v>ITALIA</v>
          </cell>
          <cell r="J1374" t="str">
            <v>011-489145</v>
          </cell>
        </row>
        <row r="1375">
          <cell r="B1375">
            <v>5061</v>
          </cell>
          <cell r="C1375" t="str">
            <v>ISTITUTO  MISSIONARI DI  MARIA S.S. CONSOLATA</v>
          </cell>
          <cell r="D1375" t="str">
            <v>80063490017</v>
          </cell>
          <cell r="E1375" t="str">
            <v>CORSO F. FERRUCCI, 14</v>
          </cell>
          <cell r="F1375">
            <v>10138</v>
          </cell>
          <cell r="G1375" t="str">
            <v>TORINO</v>
          </cell>
          <cell r="H1375" t="str">
            <v>TO</v>
          </cell>
          <cell r="I1375" t="str">
            <v>ITALIA</v>
          </cell>
          <cell r="J1375" t="str">
            <v xml:space="preserve">011-4400409 </v>
          </cell>
        </row>
        <row r="1376">
          <cell r="B1376">
            <v>4857</v>
          </cell>
          <cell r="C1376" t="str">
            <v>ISTITUTO SUORE  CANOSSIANE</v>
          </cell>
          <cell r="D1376" t="str">
            <v>00661370163 00661370163</v>
          </cell>
          <cell r="E1376" t="str">
            <v>PIAZZA MARCONI, 8</v>
          </cell>
          <cell r="F1376">
            <v>24030</v>
          </cell>
          <cell r="G1376" t="str">
            <v>CAPRINO  BERGAMASCO</v>
          </cell>
          <cell r="H1376" t="str">
            <v>BG</v>
          </cell>
          <cell r="I1376" t="str">
            <v>ITALIA</v>
          </cell>
          <cell r="J1376" t="str">
            <v>035-781017</v>
          </cell>
        </row>
        <row r="1377">
          <cell r="B1377">
            <v>5171</v>
          </cell>
          <cell r="C1377" t="str">
            <v>ISTITUTO SUORE  MISS. CONSOLATA</v>
          </cell>
          <cell r="D1377" t="str">
            <v>80064030010</v>
          </cell>
          <cell r="E1377" t="str">
            <v>VIA COAZZE, 1</v>
          </cell>
          <cell r="F1377">
            <v>10138</v>
          </cell>
          <cell r="G1377" t="str">
            <v>TORINO</v>
          </cell>
          <cell r="H1377" t="str">
            <v>TO</v>
          </cell>
          <cell r="I1377" t="str">
            <v>ITALIA</v>
          </cell>
          <cell r="J1377" t="str">
            <v>011-4597249</v>
          </cell>
        </row>
        <row r="1378">
          <cell r="B1378">
            <v>6709</v>
          </cell>
          <cell r="C1378" t="str">
            <v>IT TORINO S.R.L.</v>
          </cell>
          <cell r="D1378" t="str">
            <v>07470440962 07470440962</v>
          </cell>
          <cell r="E1378" t="str">
            <v>FORO BUONAPARTE, 71</v>
          </cell>
          <cell r="F1378">
            <v>20121</v>
          </cell>
          <cell r="G1378" t="str">
            <v>MILANO</v>
          </cell>
          <cell r="H1378" t="str">
            <v>MI</v>
          </cell>
          <cell r="I1378" t="str">
            <v>ITALIA</v>
          </cell>
        </row>
        <row r="1379">
          <cell r="B1379">
            <v>4087</v>
          </cell>
          <cell r="C1379" t="str">
            <v>ITALBREAK S.A.S.  DI SCARPA GINO &amp;  C.</v>
          </cell>
          <cell r="D1379" t="str">
            <v>10451070014 10451070014</v>
          </cell>
          <cell r="E1379" t="str">
            <v>VIA CERNAIA, 24</v>
          </cell>
          <cell r="F1379">
            <v>10122</v>
          </cell>
          <cell r="G1379" t="str">
            <v>TORINO</v>
          </cell>
          <cell r="H1379" t="str">
            <v>TO</v>
          </cell>
          <cell r="I1379" t="str">
            <v>ITALIA</v>
          </cell>
          <cell r="J1379" t="str">
            <v>347-8136739</v>
          </cell>
        </row>
        <row r="1380">
          <cell r="B1380">
            <v>6475</v>
          </cell>
          <cell r="C1380" t="str">
            <v>ITALCAF S.R.L.</v>
          </cell>
          <cell r="D1380" t="str">
            <v>11588430014 11588430014</v>
          </cell>
          <cell r="E1380" t="str">
            <v>VIA NAPOLI, 21/B</v>
          </cell>
          <cell r="F1380">
            <v>10093</v>
          </cell>
          <cell r="G1380" t="str">
            <v>COLLEGNO</v>
          </cell>
          <cell r="H1380" t="str">
            <v>TO</v>
          </cell>
          <cell r="I1380" t="str">
            <v>ITALIA</v>
          </cell>
          <cell r="J1380" t="str">
            <v xml:space="preserve">011-4115866 </v>
          </cell>
        </row>
        <row r="1381">
          <cell r="B1381">
            <v>7175</v>
          </cell>
          <cell r="C1381" t="str">
            <v>ITALFOODS S.R.L.</v>
          </cell>
          <cell r="D1381" t="str">
            <v>03417790049 03417790049</v>
          </cell>
          <cell r="E1381" t="str">
            <v>VIA NIKOLAJEWKA, 5</v>
          </cell>
          <cell r="F1381">
            <v>12020</v>
          </cell>
          <cell r="G1381" t="str">
            <v>VILLAR SAN  COSTANZO</v>
          </cell>
          <cell r="H1381" t="str">
            <v>CN</v>
          </cell>
          <cell r="I1381" t="str">
            <v>ITALIA</v>
          </cell>
          <cell r="J1381" t="str">
            <v>0171-902320</v>
          </cell>
        </row>
        <row r="1382">
          <cell r="B1382">
            <v>3773</v>
          </cell>
          <cell r="C1382" t="str">
            <v>ITALIAN VENDING  GROUP S.R.L.</v>
          </cell>
          <cell r="D1382" t="str">
            <v>02032880979 02032880979</v>
          </cell>
          <cell r="E1382" t="str">
            <v>VIALE DELLA REPUBBLICA, 141</v>
          </cell>
          <cell r="F1382">
            <v>59100</v>
          </cell>
          <cell r="G1382" t="str">
            <v>PRATO</v>
          </cell>
          <cell r="H1382" t="str">
            <v>PO</v>
          </cell>
          <cell r="I1382" t="str">
            <v>ITALIA</v>
          </cell>
          <cell r="J1382" t="str">
            <v xml:space="preserve">0574-729299 </v>
          </cell>
        </row>
        <row r="1383">
          <cell r="B1383">
            <v>7088</v>
          </cell>
          <cell r="C1383" t="str">
            <v>ITALIANA  DISTRIBUTORI DI  MOLINO VALTER</v>
          </cell>
          <cell r="D1383" t="str">
            <v>12307720016 MLNVTR70H25L219 G</v>
          </cell>
          <cell r="E1383" t="str">
            <v>VIA NAPOLI, 21/B</v>
          </cell>
          <cell r="F1383">
            <v>10093</v>
          </cell>
          <cell r="G1383" t="str">
            <v>COLLEGNO</v>
          </cell>
          <cell r="H1383" t="str">
            <v>TO</v>
          </cell>
          <cell r="I1383" t="str">
            <v>ITALIA</v>
          </cell>
          <cell r="J1383" t="str">
            <v>011-4115913</v>
          </cell>
        </row>
        <row r="1384">
          <cell r="B1384">
            <v>2284</v>
          </cell>
          <cell r="C1384" t="str">
            <v>ITALMATIC   S.R.L.</v>
          </cell>
          <cell r="D1384" t="str">
            <v>05223860015 05223860015</v>
          </cell>
          <cell r="E1384" t="str">
            <v>STRADA FANTASIA, 69/71</v>
          </cell>
          <cell r="F1384">
            <v>10040</v>
          </cell>
          <cell r="G1384" t="str">
            <v>LEINI'</v>
          </cell>
          <cell r="H1384" t="str">
            <v>TO</v>
          </cell>
          <cell r="I1384" t="str">
            <v>ITALIA</v>
          </cell>
          <cell r="J1384" t="str">
            <v>011-9983502</v>
          </cell>
        </row>
        <row r="1385">
          <cell r="B1385">
            <v>9546</v>
          </cell>
          <cell r="C1385" t="str">
            <v>ITALTRIM GENERAL TRADING CO LLC</v>
          </cell>
          <cell r="E1385" t="str">
            <v>OFFICE 1208 BAYSWATER BY OMNIYAT PO BOX 236438</v>
          </cell>
          <cell r="F1385"/>
          <cell r="G1385" t="str">
            <v>DUBAI</v>
          </cell>
          <cell r="I1385" t="str">
            <v>EMIRATI ARABI</v>
          </cell>
          <cell r="J1385" t="str">
            <v>+971(0)43367100</v>
          </cell>
        </row>
        <row r="1386">
          <cell r="B1386">
            <v>4236</v>
          </cell>
          <cell r="C1386" t="str">
            <v>ITALY BREAK DI  CALZONE GIULIO</v>
          </cell>
          <cell r="D1386" t="str">
            <v>07947450966 CLZGLI74R21F205H</v>
          </cell>
          <cell r="E1386" t="str">
            <v>VIA MADONNINA, 16</v>
          </cell>
          <cell r="F1386">
            <v>20834</v>
          </cell>
          <cell r="G1386" t="str">
            <v>NOVA MILANESE</v>
          </cell>
          <cell r="H1386" t="str">
            <v>MB</v>
          </cell>
          <cell r="I1386" t="str">
            <v>ITALIA</v>
          </cell>
          <cell r="J1386" t="str">
            <v>338-6220919</v>
          </cell>
        </row>
        <row r="1387">
          <cell r="B1387">
            <v>4603</v>
          </cell>
          <cell r="C1387" t="str">
            <v>ITALY CAFE' S.R.L.</v>
          </cell>
          <cell r="D1387" t="str">
            <v>03963970169 03963970169</v>
          </cell>
          <cell r="E1387" t="str">
            <v>VIA DEI PARTIGIANI, 4</v>
          </cell>
          <cell r="F1387">
            <v>24121</v>
          </cell>
          <cell r="G1387" t="str">
            <v>BERGAMO</v>
          </cell>
          <cell r="H1387" t="str">
            <v>BG</v>
          </cell>
          <cell r="I1387" t="str">
            <v>ITALIA</v>
          </cell>
          <cell r="J1387" t="str">
            <v>338-8219300</v>
          </cell>
        </row>
        <row r="1388">
          <cell r="B1388">
            <v>4053</v>
          </cell>
          <cell r="C1388" t="str">
            <v>IV.S.24  S.N.C.  DI CASTIGLIONE  STEFANO E IVAN</v>
          </cell>
          <cell r="D1388" t="str">
            <v>07337670967 07337670967</v>
          </cell>
          <cell r="E1388" t="str">
            <v>VIA ARCHIMEDE, 83</v>
          </cell>
          <cell r="F1388">
            <v>20029</v>
          </cell>
          <cell r="G1388" t="str">
            <v>MILANO</v>
          </cell>
          <cell r="H1388" t="str">
            <v>MI</v>
          </cell>
          <cell r="I1388" t="str">
            <v>ITALIA</v>
          </cell>
          <cell r="J1388" t="str">
            <v>333-2226872</v>
          </cell>
        </row>
        <row r="1389">
          <cell r="B1389">
            <v>2755</v>
          </cell>
          <cell r="C1389" t="str">
            <v>IVS ITALIA S.P.A.</v>
          </cell>
          <cell r="D1389" t="str">
            <v>03320270162 03320270162</v>
          </cell>
          <cell r="E1389" t="str">
            <v>VIA DELL' ARTIGIANATO,  25</v>
          </cell>
          <cell r="F1389">
            <v>24068</v>
          </cell>
          <cell r="G1389" t="str">
            <v>SERIATE</v>
          </cell>
          <cell r="H1389" t="str">
            <v>BG</v>
          </cell>
          <cell r="I1389" t="str">
            <v>ITALIA</v>
          </cell>
          <cell r="J1389" t="str">
            <v>035-301695</v>
          </cell>
        </row>
        <row r="1390">
          <cell r="B1390">
            <v>6472</v>
          </cell>
          <cell r="C1390" t="str">
            <v>J CATERING DI  GUGLIELMO  IACCHETTI</v>
          </cell>
          <cell r="D1390" t="str">
            <v>09851890963 CCHGLL71H18F205 T</v>
          </cell>
          <cell r="E1390" t="str">
            <v>VIA LEONARDO DA VINCI, 1</v>
          </cell>
          <cell r="F1390">
            <v>20065</v>
          </cell>
          <cell r="G1390" t="str">
            <v>INZAGO</v>
          </cell>
          <cell r="H1390" t="str">
            <v>MI</v>
          </cell>
          <cell r="I1390" t="str">
            <v>ITALIA</v>
          </cell>
          <cell r="J1390" t="str">
            <v>339-4032387</v>
          </cell>
        </row>
        <row r="1391">
          <cell r="B1391">
            <v>6789</v>
          </cell>
          <cell r="C1391" t="str">
            <v>JACK&amp;GALU SRLS</v>
          </cell>
          <cell r="D1391" t="str">
            <v>10948230015 10948230015</v>
          </cell>
          <cell r="E1391" t="str">
            <v>C.SO MAGENTA, 49</v>
          </cell>
          <cell r="F1391">
            <v>10128</v>
          </cell>
          <cell r="G1391" t="str">
            <v>TORINO</v>
          </cell>
          <cell r="H1391" t="str">
            <v>TO</v>
          </cell>
          <cell r="I1391" t="str">
            <v>ITALIA</v>
          </cell>
          <cell r="J1391" t="str">
            <v>338-5954004</v>
          </cell>
        </row>
        <row r="1392">
          <cell r="B1392">
            <v>7445</v>
          </cell>
          <cell r="C1392" t="str">
            <v>JARMUR JAROSLAW  MURZYNSKI</v>
          </cell>
          <cell r="D1392" t="str">
            <v>5832671517</v>
          </cell>
          <cell r="E1392" t="str">
            <v>DEBOWA, 7</v>
          </cell>
          <cell r="F1392">
            <v>83330</v>
          </cell>
          <cell r="G1392" t="str">
            <v>LNISKA ( POLONIA)</v>
          </cell>
          <cell r="I1392" t="str">
            <v>POLONIA</v>
          </cell>
          <cell r="J1392" t="str">
            <v>+48-506475052</v>
          </cell>
        </row>
        <row r="1393">
          <cell r="B1393">
            <v>3397</v>
          </cell>
          <cell r="C1393" t="str">
            <v>JASMI S.N.C. DI  TATULLO GREGORIO  &amp; C.</v>
          </cell>
          <cell r="D1393" t="str">
            <v>07683190016 07683190016</v>
          </cell>
          <cell r="E1393" t="str">
            <v>VIA SANTA CRISTINA, 3</v>
          </cell>
          <cell r="F1393">
            <v>10036</v>
          </cell>
          <cell r="G1393" t="str">
            <v>SETTIMO  TORINESE</v>
          </cell>
          <cell r="H1393" t="str">
            <v>TO</v>
          </cell>
          <cell r="I1393" t="str">
            <v>ITALIA</v>
          </cell>
          <cell r="J1393" t="str">
            <v>011-8960663</v>
          </cell>
        </row>
        <row r="1394">
          <cell r="B1394">
            <v>6756</v>
          </cell>
          <cell r="C1394" t="str">
            <v>J-COILS SH.P.K</v>
          </cell>
          <cell r="D1394" t="str">
            <v>L51608037P</v>
          </cell>
          <cell r="E1394" t="str">
            <v>RRUGA AEROPORTIT,  KM 3 MAGAZINA, 40</v>
          </cell>
          <cell r="F1394">
            <v>1031</v>
          </cell>
          <cell r="G1394" t="str">
            <v>TIRANA -  ALBANIA -</v>
          </cell>
          <cell r="I1394" t="str">
            <v>ALBANIA</v>
          </cell>
          <cell r="J1394" t="str">
            <v>0035-5682027016</v>
          </cell>
        </row>
        <row r="1395">
          <cell r="B1395">
            <v>4783</v>
          </cell>
          <cell r="C1395" t="str">
            <v>JETIMPLANT S.R.L.</v>
          </cell>
          <cell r="D1395" t="str">
            <v>03269530964 03269530964</v>
          </cell>
          <cell r="E1395" t="str">
            <v>VIA PRIVATA EMILIA  ROMAGNA, 13</v>
          </cell>
          <cell r="F1395">
            <v>26855</v>
          </cell>
          <cell r="G1395" t="str">
            <v>LODI VECCHIO</v>
          </cell>
          <cell r="H1395" t="str">
            <v>LO</v>
          </cell>
          <cell r="I1395" t="str">
            <v>ITALIA</v>
          </cell>
          <cell r="J1395" t="str">
            <v>0371-460302</v>
          </cell>
        </row>
        <row r="1396">
          <cell r="B1396">
            <v>3759</v>
          </cell>
          <cell r="C1396" t="str">
            <v>JIN JON &amp; JAN S.N.C.</v>
          </cell>
          <cell r="D1396" t="str">
            <v>03138620129 03138620129</v>
          </cell>
          <cell r="E1396" t="str">
            <v>VIA OBERDAN, 4</v>
          </cell>
          <cell r="F1396">
            <v>21052</v>
          </cell>
          <cell r="G1396" t="str">
            <v>BUSTO ARSIZIO</v>
          </cell>
          <cell r="H1396" t="str">
            <v>VA</v>
          </cell>
          <cell r="I1396" t="str">
            <v>ITALIA</v>
          </cell>
          <cell r="J1396" t="str">
            <v>0331-633912</v>
          </cell>
        </row>
        <row r="1397">
          <cell r="B1397">
            <v>10213</v>
          </cell>
          <cell r="C1397" t="str">
            <v>JOOGIEKSPERT OU</v>
          </cell>
          <cell r="E1397" t="str">
            <v>TIIGI TEE, 2</v>
          </cell>
          <cell r="F1397">
            <v>61713</v>
          </cell>
          <cell r="G1397" t="str">
            <v>OSSU - KAMBIA VALD - ESTONIA</v>
          </cell>
          <cell r="H1397" t="str">
            <v>**</v>
          </cell>
          <cell r="I1397" t="str">
            <v>ESTONIA</v>
          </cell>
          <cell r="J1397" t="str">
            <v>+37253530744</v>
          </cell>
        </row>
        <row r="1398">
          <cell r="B1398">
            <v>2949</v>
          </cell>
          <cell r="C1398" t="str">
            <v>JUICE VAPOR DI  TOMASI ROBERTO</v>
          </cell>
          <cell r="D1398" t="str">
            <v>12966470150 TMSRRT70R15F205 O</v>
          </cell>
          <cell r="E1398" t="str">
            <v>PIAZZA DELLA CHIESA, 25</v>
          </cell>
          <cell r="F1398">
            <v>20026</v>
          </cell>
          <cell r="G1398" t="str">
            <v>NOVATE  MILANESE</v>
          </cell>
          <cell r="H1398" t="str">
            <v>MI</v>
          </cell>
          <cell r="I1398" t="str">
            <v>ITALIA</v>
          </cell>
          <cell r="J1398" t="str">
            <v xml:space="preserve">02-39104150 </v>
          </cell>
        </row>
        <row r="1399">
          <cell r="B1399">
            <v>9990</v>
          </cell>
          <cell r="C1399" t="str">
            <v>JUNGHEINRICH ITALIANA S.R.L.</v>
          </cell>
          <cell r="E1399" t="str">
            <v>VIA AMBURGO, 1</v>
          </cell>
          <cell r="F1399">
            <v>20088</v>
          </cell>
          <cell r="G1399" t="str">
            <v>ROSATE</v>
          </cell>
          <cell r="H1399" t="str">
            <v>MI</v>
          </cell>
          <cell r="I1399" t="str">
            <v>ITALIA</v>
          </cell>
          <cell r="J1399" t="str">
            <v>800-368485</v>
          </cell>
        </row>
        <row r="1400">
          <cell r="B1400">
            <v>4969</v>
          </cell>
          <cell r="C1400" t="str">
            <v>JUST COFFEE DI  CRESPI PAOLO  EMANUELE</v>
          </cell>
          <cell r="D1400" t="str">
            <v>CRSPMN83L08F205 S</v>
          </cell>
          <cell r="E1400" t="str">
            <v>VIA G. DELEDDA, 11</v>
          </cell>
          <cell r="F1400">
            <v>20838</v>
          </cell>
          <cell r="G1400" t="str">
            <v>RENATE</v>
          </cell>
          <cell r="H1400" t="str">
            <v>MB</v>
          </cell>
          <cell r="I1400" t="str">
            <v>ITALIA</v>
          </cell>
          <cell r="J1400" t="str">
            <v>393-9512394</v>
          </cell>
        </row>
        <row r="1401">
          <cell r="B1401">
            <v>4871</v>
          </cell>
          <cell r="C1401" t="str">
            <v>JUST COFFEE S.R.L.</v>
          </cell>
          <cell r="D1401" t="str">
            <v>02363210184 02363210184</v>
          </cell>
          <cell r="E1401" t="str">
            <v>VIA CANTARANA, 45/A</v>
          </cell>
          <cell r="F1401">
            <v>27043</v>
          </cell>
          <cell r="G1401" t="str">
            <v>SAN CIPRIANO  PO</v>
          </cell>
          <cell r="H1401" t="str">
            <v>PV</v>
          </cell>
          <cell r="I1401" t="str">
            <v>ITALIA</v>
          </cell>
          <cell r="J1401" t="str">
            <v>338-4572558</v>
          </cell>
        </row>
        <row r="1402">
          <cell r="B1402">
            <v>6464</v>
          </cell>
          <cell r="C1402" t="str">
            <v>K.FOOD S.A.S.</v>
          </cell>
          <cell r="D1402" t="str">
            <v>09746470963</v>
          </cell>
          <cell r="E1402" t="str">
            <v>VIA CESARE BATTISTI, 8</v>
          </cell>
          <cell r="F1402">
            <v>20846</v>
          </cell>
          <cell r="G1402" t="str">
            <v>MACHERIO</v>
          </cell>
          <cell r="H1402" t="str">
            <v>MB</v>
          </cell>
          <cell r="I1402" t="str">
            <v>ITALIA</v>
          </cell>
          <cell r="J1402" t="str">
            <v>335-6653881</v>
          </cell>
        </row>
        <row r="1403">
          <cell r="B1403">
            <v>6454</v>
          </cell>
          <cell r="C1403" t="str">
            <v>KAFFEBELLAGIO DI  PASALEGA ION</v>
          </cell>
          <cell r="D1403" t="str">
            <v>11653120011 PSLNIO84C07Z129I</v>
          </cell>
          <cell r="E1403" t="str">
            <v>VIA E. DE NICOLA, 17</v>
          </cell>
          <cell r="F1403">
            <v>10036</v>
          </cell>
          <cell r="G1403" t="str">
            <v>SETTIMO  TORINESE</v>
          </cell>
          <cell r="H1403" t="str">
            <v>TO</v>
          </cell>
          <cell r="I1403" t="str">
            <v>ITALIA</v>
          </cell>
          <cell r="J1403" t="str">
            <v>373-3377241</v>
          </cell>
        </row>
        <row r="1404">
          <cell r="B1404">
            <v>3768</v>
          </cell>
          <cell r="C1404" t="str">
            <v>KALOROIL DI  BARTOLINI MARIO E  FIGLI S.R.L.</v>
          </cell>
          <cell r="D1404" t="str">
            <v>00107140535 00107140535</v>
          </cell>
          <cell r="E1404" t="str">
            <v>SS 74 MAREMMANA, 55372 LOC. IL PIANO</v>
          </cell>
          <cell r="F1404">
            <v>58017</v>
          </cell>
          <cell r="G1404" t="str">
            <v>PITIGLIANO</v>
          </cell>
          <cell r="H1404" t="str">
            <v>GR</v>
          </cell>
          <cell r="I1404" t="str">
            <v>ITALIA</v>
          </cell>
          <cell r="J1404" t="str">
            <v>0564-615194</v>
          </cell>
        </row>
        <row r="1405">
          <cell r="B1405">
            <v>6555</v>
          </cell>
          <cell r="C1405" t="str">
            <v>KAPPA 2 SRL</v>
          </cell>
          <cell r="D1405" t="str">
            <v>01398850097 01398850097</v>
          </cell>
          <cell r="E1405" t="str">
            <v>VIA ROSSINI, 6/7</v>
          </cell>
          <cell r="F1405">
            <v>16159</v>
          </cell>
          <cell r="G1405" t="str">
            <v>GENOVA</v>
          </cell>
          <cell r="H1405" t="str">
            <v>GE</v>
          </cell>
          <cell r="I1405" t="str">
            <v>ITALIA</v>
          </cell>
          <cell r="J1405" t="str">
            <v xml:space="preserve">019-856167 </v>
          </cell>
        </row>
        <row r="1406">
          <cell r="B1406">
            <v>7120</v>
          </cell>
          <cell r="C1406" t="str">
            <v>KASAMI BEKIM</v>
          </cell>
          <cell r="D1406" t="str">
            <v>KSMBKM99C31Z148 J</v>
          </cell>
          <cell r="E1406" t="str">
            <v>VIA CARLO DARWIN 3</v>
          </cell>
          <cell r="F1406">
            <v>52100</v>
          </cell>
          <cell r="G1406" t="str">
            <v>AREZZO</v>
          </cell>
          <cell r="H1406" t="str">
            <v>AR</v>
          </cell>
          <cell r="I1406" t="str">
            <v>ITALIA</v>
          </cell>
          <cell r="J1406" t="str">
            <v>324-7876137</v>
          </cell>
        </row>
        <row r="1407">
          <cell r="B1407">
            <v>6778</v>
          </cell>
          <cell r="C1407" t="str">
            <v>KAWA365 K.  BACZEK, K.  SZKUDLAREK S.C.</v>
          </cell>
          <cell r="D1407" t="str">
            <v>7582368775</v>
          </cell>
          <cell r="E1407" t="str">
            <v>BOLESLAWA PRUSA, 7</v>
          </cell>
          <cell r="F1407">
            <v>7417</v>
          </cell>
          <cell r="G1407" t="str">
            <v>OSTROLEKA -  POLONIA -</v>
          </cell>
          <cell r="I1407" t="str">
            <v>POLONIA</v>
          </cell>
          <cell r="J1407">
            <v>880629272</v>
          </cell>
        </row>
        <row r="1408">
          <cell r="B1408">
            <v>6924</v>
          </cell>
          <cell r="C1408" t="str">
            <v>KE KAFFE' DI  PULLARA  ALESSANDRA</v>
          </cell>
          <cell r="D1408" t="str">
            <v>03220240125 PLLLSN82A43E734Q</v>
          </cell>
          <cell r="E1408" t="str">
            <v>VIA CADORNA, 8</v>
          </cell>
          <cell r="F1408">
            <v>21010</v>
          </cell>
          <cell r="G1408" t="str">
            <v>GERMIGNAGA</v>
          </cell>
          <cell r="H1408" t="str">
            <v>VA</v>
          </cell>
          <cell r="I1408" t="str">
            <v>ITALIA</v>
          </cell>
          <cell r="J1408" t="str">
            <v>0332-579430</v>
          </cell>
        </row>
        <row r="1409">
          <cell r="B1409">
            <v>4199</v>
          </cell>
          <cell r="C1409" t="str">
            <v>KEBBE KING S.R. L.</v>
          </cell>
          <cell r="D1409" t="str">
            <v>07630710965 07630710965</v>
          </cell>
          <cell r="E1409" t="str">
            <v>CASCINA FALLASCA</v>
          </cell>
          <cell r="F1409">
            <v>20098</v>
          </cell>
          <cell r="G1409" t="str">
            <v>SAN GIULIANO  MILANESE</v>
          </cell>
          <cell r="H1409" t="str">
            <v>MI</v>
          </cell>
          <cell r="I1409" t="str">
            <v>ITALIA</v>
          </cell>
          <cell r="J1409" t="str">
            <v>02-98244672</v>
          </cell>
        </row>
        <row r="1410">
          <cell r="B1410">
            <v>4123</v>
          </cell>
          <cell r="C1410" t="str">
            <v>KERATIME S.N.C.</v>
          </cell>
          <cell r="D1410" t="str">
            <v>10577670010 10577670010</v>
          </cell>
          <cell r="E1410" t="str">
            <v>VIA PRINCIPESSA  JOLANDA, 47</v>
          </cell>
          <cell r="F1410">
            <v>10090</v>
          </cell>
          <cell r="G1410" t="str">
            <v>FOGLIZZO</v>
          </cell>
          <cell r="H1410" t="str">
            <v>TO</v>
          </cell>
          <cell r="I1410" t="str">
            <v>ITALIA</v>
          </cell>
          <cell r="J1410" t="str">
            <v>0124-32229</v>
          </cell>
        </row>
        <row r="1411">
          <cell r="B1411">
            <v>6488</v>
          </cell>
          <cell r="C1411" t="str">
            <v>KICCHI D'ORO DI  GRANILLO ELIANA</v>
          </cell>
          <cell r="D1411" t="str">
            <v>11722680011 GRNLNE75R63L219 M</v>
          </cell>
          <cell r="E1411" t="str">
            <v>CORSO REGINA  MARGHERITA, 263</v>
          </cell>
          <cell r="F1411">
            <v>10143</v>
          </cell>
          <cell r="G1411" t="str">
            <v>TORINO</v>
          </cell>
          <cell r="H1411" t="str">
            <v>TO</v>
          </cell>
          <cell r="I1411" t="str">
            <v>ITALIA</v>
          </cell>
          <cell r="J1411" t="str">
            <v>340-5682730</v>
          </cell>
        </row>
        <row r="1412">
          <cell r="B1412">
            <v>4710</v>
          </cell>
          <cell r="C1412" t="str">
            <v>KICCHIDORO</v>
          </cell>
          <cell r="D1412" t="str">
            <v>11145340011 11145340011</v>
          </cell>
          <cell r="E1412" t="str">
            <v>VIA SAN DONATO, 8 BIS</v>
          </cell>
          <cell r="F1412">
            <v>10100</v>
          </cell>
          <cell r="G1412" t="str">
            <v>TORINO</v>
          </cell>
          <cell r="H1412" t="str">
            <v>TO</v>
          </cell>
          <cell r="I1412" t="str">
            <v>ITALIA</v>
          </cell>
          <cell r="J1412" t="str">
            <v>011-19713959</v>
          </cell>
        </row>
        <row r="1413">
          <cell r="B1413">
            <v>5943</v>
          </cell>
          <cell r="C1413" t="str">
            <v>KICCO DI LEVRONE  ANDREA &amp; C. S.N.C.</v>
          </cell>
          <cell r="D1413" t="str">
            <v>00678240011 00678240011</v>
          </cell>
          <cell r="E1413" t="str">
            <v>VIA CARMAGNOLA, 19</v>
          </cell>
          <cell r="F1413">
            <v>10060</v>
          </cell>
          <cell r="G1413" t="str">
            <v>PANCALIERI</v>
          </cell>
          <cell r="H1413" t="str">
            <v>TO</v>
          </cell>
          <cell r="I1413" t="str">
            <v>ITALIA</v>
          </cell>
          <cell r="J1413" t="str">
            <v>011-9734280</v>
          </cell>
        </row>
        <row r="1414">
          <cell r="B1414">
            <v>6436</v>
          </cell>
          <cell r="C1414" t="str">
            <v>KICCO SERVICE S.R. L.S.</v>
          </cell>
          <cell r="D1414" t="str">
            <v>09315890963 09315890963</v>
          </cell>
          <cell r="E1414" t="str">
            <v>VIA BARNABA ORIANI, 59</v>
          </cell>
          <cell r="F1414">
            <v>20156</v>
          </cell>
          <cell r="G1414" t="str">
            <v>MILANO</v>
          </cell>
          <cell r="H1414" t="str">
            <v>MI</v>
          </cell>
          <cell r="I1414" t="str">
            <v>ITALIA</v>
          </cell>
          <cell r="J1414" t="str">
            <v>333-5868086</v>
          </cell>
        </row>
        <row r="1415">
          <cell r="B1415">
            <v>6714</v>
          </cell>
          <cell r="C1415" t="str">
            <v>KICOI DI BOLPAGNI  ERICA</v>
          </cell>
          <cell r="D1415" t="str">
            <v>02238640987 BLPRCE73L70B157R</v>
          </cell>
          <cell r="E1415" t="str">
            <v>VIA PETRARCA, 149</v>
          </cell>
          <cell r="F1415">
            <v>25068</v>
          </cell>
          <cell r="G1415" t="str">
            <v>SAREZZO</v>
          </cell>
          <cell r="H1415" t="str">
            <v>BS</v>
          </cell>
          <cell r="I1415" t="str">
            <v>ITALIA</v>
          </cell>
          <cell r="J1415" t="str">
            <v>338-5063487</v>
          </cell>
        </row>
        <row r="1416">
          <cell r="B1416">
            <v>6564</v>
          </cell>
          <cell r="C1416" t="str">
            <v>KINESIS SPORT S. R.L.</v>
          </cell>
          <cell r="D1416" t="str">
            <v>09010570969 09010570969</v>
          </cell>
          <cell r="E1416" t="str">
            <v>VIA BRIANZA, 2</v>
          </cell>
          <cell r="F1416">
            <v>20882</v>
          </cell>
          <cell r="G1416" t="str">
            <v>BELLUSCO</v>
          </cell>
          <cell r="H1416" t="str">
            <v>MB</v>
          </cell>
          <cell r="I1416" t="str">
            <v>ITALIA</v>
          </cell>
          <cell r="J1416" t="str">
            <v>039-2914770</v>
          </cell>
        </row>
        <row r="1417">
          <cell r="B1417">
            <v>6683</v>
          </cell>
          <cell r="C1417" t="str">
            <v>KINGJI ALKETA</v>
          </cell>
          <cell r="D1417" t="str">
            <v>63838116101</v>
          </cell>
          <cell r="E1417" t="str">
            <v>7, AVENUE RENE'  BOYLESVE</v>
          </cell>
          <cell r="F1417">
            <v>6100</v>
          </cell>
          <cell r="G1417" t="str">
            <v>NICE</v>
          </cell>
          <cell r="I1417" t="str">
            <v>FRANCIA</v>
          </cell>
          <cell r="J1417" t="str">
            <v>06-63322238</v>
          </cell>
        </row>
        <row r="1418">
          <cell r="B1418">
            <v>4674</v>
          </cell>
          <cell r="C1418" t="str">
            <v>KLASTER S.A.S.</v>
          </cell>
          <cell r="D1418" t="str">
            <v>11063990011 11063990011</v>
          </cell>
          <cell r="E1418" t="str">
            <v>VIA C. COLOMBO, 40/D</v>
          </cell>
          <cell r="F1418">
            <v>10129</v>
          </cell>
          <cell r="G1418" t="str">
            <v>TORINO</v>
          </cell>
          <cell r="H1418" t="str">
            <v>TO</v>
          </cell>
          <cell r="I1418" t="str">
            <v>ITALIA</v>
          </cell>
          <cell r="J1418" t="str">
            <v>011-0208507</v>
          </cell>
        </row>
        <row r="1419">
          <cell r="B1419">
            <v>3119</v>
          </cell>
          <cell r="C1419" t="str">
            <v>KORCHYNSKA  OLENA</v>
          </cell>
          <cell r="D1419" t="str">
            <v>KRCLNO64C42Z140 C</v>
          </cell>
          <cell r="E1419" t="str">
            <v>VIA FALCK, 72</v>
          </cell>
          <cell r="F1419">
            <v>20099</v>
          </cell>
          <cell r="G1419" t="str">
            <v>SESTO SAN  GIOVANNI</v>
          </cell>
          <cell r="H1419" t="str">
            <v>MI</v>
          </cell>
          <cell r="I1419" t="str">
            <v>ITALIA</v>
          </cell>
        </row>
        <row r="1420">
          <cell r="B1420">
            <v>4814</v>
          </cell>
          <cell r="C1420" t="str">
            <v>KOROS CAFE' SNC  DI MAGGIORE  FABIO &amp; FEDERICA</v>
          </cell>
          <cell r="D1420" t="str">
            <v>09295310966 09295310966</v>
          </cell>
          <cell r="E1420" t="str">
            <v>VIA STATALE ,20</v>
          </cell>
          <cell r="F1420">
            <v>23013</v>
          </cell>
          <cell r="G1420" t="str">
            <v>COSIO VALTELLINO</v>
          </cell>
          <cell r="H1420" t="str">
            <v>SO</v>
          </cell>
          <cell r="I1420" t="str">
            <v>ITALIA</v>
          </cell>
          <cell r="J1420" t="str">
            <v>333-2758640</v>
          </cell>
        </row>
        <row r="1421">
          <cell r="B1421">
            <v>4189</v>
          </cell>
          <cell r="C1421" t="str">
            <v>KREATEK S.A.S.</v>
          </cell>
          <cell r="D1421" t="str">
            <v>10607260014 10607260014</v>
          </cell>
          <cell r="E1421" t="str">
            <v>STRADA TORINO, 43</v>
          </cell>
          <cell r="F1421">
            <v>10043</v>
          </cell>
          <cell r="G1421" t="str">
            <v>ORBASSANO</v>
          </cell>
          <cell r="H1421" t="str">
            <v>TO</v>
          </cell>
          <cell r="I1421" t="str">
            <v>ITALIA</v>
          </cell>
          <cell r="J1421" t="str">
            <v>011-9968855</v>
          </cell>
        </row>
        <row r="1422">
          <cell r="B1422">
            <v>6751</v>
          </cell>
          <cell r="C1422" t="str">
            <v>KUKA ROBOTER  ITALIA S.P.A.</v>
          </cell>
          <cell r="D1422" t="str">
            <v>07010790157 07010790157</v>
          </cell>
          <cell r="E1422" t="str">
            <v>VIA LEONARDO DA VINCI, 3</v>
          </cell>
          <cell r="F1422">
            <v>10095</v>
          </cell>
          <cell r="G1422" t="str">
            <v>GRUGLIASCO</v>
          </cell>
          <cell r="H1422" t="str">
            <v>TO</v>
          </cell>
          <cell r="I1422" t="str">
            <v>ITALIA</v>
          </cell>
          <cell r="J1422" t="str">
            <v>011-9595013</v>
          </cell>
        </row>
        <row r="1423">
          <cell r="B1423">
            <v>6608</v>
          </cell>
          <cell r="C1423" t="str">
            <v>L' ATELIER DEL  CAFFE' DI NAVA  GIOVANNI</v>
          </cell>
          <cell r="D1423" t="str">
            <v>04214780167 NVAGNN61D11D221 L</v>
          </cell>
          <cell r="E1423" t="str">
            <v>VIA CAMPOFIORI, 18/A</v>
          </cell>
          <cell r="F1423">
            <v>24011</v>
          </cell>
          <cell r="G1423" t="str">
            <v>ALME</v>
          </cell>
          <cell r="H1423" t="str">
            <v>BG</v>
          </cell>
          <cell r="I1423" t="str">
            <v>ITALIA</v>
          </cell>
          <cell r="J1423" t="str">
            <v>348-0583478</v>
          </cell>
        </row>
        <row r="1424">
          <cell r="B1424">
            <v>5184</v>
          </cell>
          <cell r="C1424" t="str">
            <v>L' EUROTECNICA S. R.L.</v>
          </cell>
          <cell r="D1424" t="str">
            <v>05246270010 05246270010</v>
          </cell>
          <cell r="E1424" t="str">
            <v>VIA B. LUINI, 164</v>
          </cell>
          <cell r="F1424">
            <v>10151</v>
          </cell>
          <cell r="G1424" t="str">
            <v>TORINO</v>
          </cell>
          <cell r="H1424" t="str">
            <v>TO</v>
          </cell>
          <cell r="I1424" t="str">
            <v>ITALIA</v>
          </cell>
          <cell r="J1424" t="str">
            <v xml:space="preserve">011-4557992 </v>
          </cell>
        </row>
        <row r="1425">
          <cell r="B1425">
            <v>6740</v>
          </cell>
          <cell r="C1425" t="str">
            <v>L&amp;M DI CVETKOV  DARKO</v>
          </cell>
          <cell r="D1425" t="str">
            <v>02693030211 CVTDRK76D03Z148 Q</v>
          </cell>
          <cell r="E1425" t="str">
            <v>VIA NAZIONALE, 15/A</v>
          </cell>
          <cell r="F1425">
            <v>39040</v>
          </cell>
          <cell r="G1425" t="str">
            <v>SALORNO</v>
          </cell>
          <cell r="H1425" t="str">
            <v>BZ</v>
          </cell>
          <cell r="I1425" t="str">
            <v>ITALIA</v>
          </cell>
          <cell r="J1425" t="str">
            <v>346-1539162</v>
          </cell>
        </row>
        <row r="1426">
          <cell r="B1426">
            <v>2879</v>
          </cell>
          <cell r="C1426" t="str">
            <v>L.C. FOOD  SERVICE S.R.L.</v>
          </cell>
          <cell r="D1426" t="str">
            <v>05493460967 05493460967</v>
          </cell>
          <cell r="E1426" t="str">
            <v>VIA DALMAZIA 20/D</v>
          </cell>
          <cell r="F1426">
            <v>22063</v>
          </cell>
          <cell r="G1426" t="str">
            <v>CANTU'</v>
          </cell>
          <cell r="H1426" t="str">
            <v>CO</v>
          </cell>
          <cell r="I1426" t="str">
            <v>ITALIA</v>
          </cell>
          <cell r="J1426" t="str">
            <v>031-720307</v>
          </cell>
        </row>
        <row r="1427">
          <cell r="B1427">
            <v>4672</v>
          </cell>
          <cell r="C1427" t="str">
            <v>L.D. BREAK  POINT S.A.S. DI  LORELLA D'ADAMI &amp;  C.</v>
          </cell>
          <cell r="D1427" t="str">
            <v>11334610018 11334610018</v>
          </cell>
          <cell r="E1427" t="str">
            <v>VIA LUIGI CIBRARIO,  97/D</v>
          </cell>
          <cell r="F1427">
            <v>10143</v>
          </cell>
          <cell r="G1427" t="str">
            <v>TORINO</v>
          </cell>
          <cell r="H1427" t="str">
            <v>TO</v>
          </cell>
          <cell r="I1427" t="str">
            <v>ITALIA</v>
          </cell>
        </row>
        <row r="1428">
          <cell r="B1428">
            <v>4704</v>
          </cell>
          <cell r="C1428" t="str">
            <v>L.D. BREAK POINT  DI BALZANO DAVIDE</v>
          </cell>
          <cell r="D1428" t="str">
            <v>11372350014 BLZDVD72C16L219 Y</v>
          </cell>
          <cell r="E1428" t="str">
            <v>VIA LUIGI CIBRARIO,  97/D</v>
          </cell>
          <cell r="F1428">
            <v>10143</v>
          </cell>
          <cell r="G1428" t="str">
            <v>TORINO</v>
          </cell>
          <cell r="H1428" t="str">
            <v>TO</v>
          </cell>
          <cell r="I1428" t="str">
            <v>ITALIA</v>
          </cell>
          <cell r="J1428" t="str">
            <v>338-9717255</v>
          </cell>
        </row>
        <row r="1429">
          <cell r="B1429">
            <v>7394</v>
          </cell>
          <cell r="C1429" t="str">
            <v>L.F. COFFEE E RELAX  DI LATERZA FRANCO</v>
          </cell>
          <cell r="D1429" t="str">
            <v>12395250017 LTRFNC71M21L219E</v>
          </cell>
          <cell r="E1429" t="str">
            <v>VIA DEI RONCHI, 51/A5</v>
          </cell>
          <cell r="F1429">
            <v>10091</v>
          </cell>
          <cell r="G1429" t="str">
            <v>ALPIGNANO</v>
          </cell>
          <cell r="H1429" t="str">
            <v>TO</v>
          </cell>
          <cell r="I1429" t="str">
            <v>ITALIA</v>
          </cell>
          <cell r="J1429" t="str">
            <v>335-7594969</v>
          </cell>
        </row>
        <row r="1430">
          <cell r="B1430">
            <v>7275</v>
          </cell>
          <cell r="C1430" t="str">
            <v>LA BIOTTEGA DI  MARI MATTEO</v>
          </cell>
          <cell r="D1430" t="str">
            <v>12031630010</v>
          </cell>
          <cell r="E1430" t="str">
            <v>VIA GABRIELE D' ANNUNZIO, 39</v>
          </cell>
          <cell r="F1430">
            <v>10078</v>
          </cell>
          <cell r="G1430" t="str">
            <v>VENARIA REALE</v>
          </cell>
          <cell r="H1430" t="str">
            <v>TO</v>
          </cell>
          <cell r="I1430" t="str">
            <v>ITALIA</v>
          </cell>
          <cell r="J1430" t="str">
            <v>338-8610279</v>
          </cell>
        </row>
        <row r="1431">
          <cell r="B1431">
            <v>6603</v>
          </cell>
          <cell r="C1431" t="str">
            <v>LA BOTTEGA DEL  CAFFE' DI  CASTIGLIONE  CRISTINA</v>
          </cell>
          <cell r="D1431" t="str">
            <v>01648000089 CSTCST70M65E290 N</v>
          </cell>
          <cell r="E1431" t="str">
            <v>VIA FELICE CASCIONE, 17</v>
          </cell>
          <cell r="F1431">
            <v>18100</v>
          </cell>
          <cell r="G1431" t="str">
            <v>IMPERIA</v>
          </cell>
          <cell r="H1431" t="str">
            <v>IM</v>
          </cell>
          <cell r="I1431" t="str">
            <v>ITALIA</v>
          </cell>
          <cell r="J1431" t="str">
            <v>327-8278528</v>
          </cell>
        </row>
        <row r="1432">
          <cell r="B1432">
            <v>6868</v>
          </cell>
          <cell r="C1432" t="str">
            <v>LA BOTTEGA DEL  CAFFE' DI  CATERINA WAZIRI</v>
          </cell>
          <cell r="D1432" t="str">
            <v>02724250184 WZRCRN83B67F205 Q</v>
          </cell>
          <cell r="E1432" t="str">
            <v>VIA FEDERICO BOSI, 9</v>
          </cell>
          <cell r="F1432">
            <v>20010</v>
          </cell>
          <cell r="G1432" t="str">
            <v>OSSONA</v>
          </cell>
          <cell r="H1432" t="str">
            <v>MI</v>
          </cell>
          <cell r="I1432" t="str">
            <v>ITALIA</v>
          </cell>
          <cell r="J1432" t="str">
            <v>327-3213798</v>
          </cell>
        </row>
        <row r="1433">
          <cell r="B1433">
            <v>7256</v>
          </cell>
          <cell r="C1433" t="str">
            <v>LA BOTTEGA DEL  CAFFE' DI CLAUDIA  SALIS</v>
          </cell>
          <cell r="D1433" t="str">
            <v>03906990928</v>
          </cell>
          <cell r="E1433" t="str">
            <v>VIA CAGLIARI, 58</v>
          </cell>
          <cell r="F1433">
            <v>9033</v>
          </cell>
          <cell r="G1433" t="str">
            <v>DECIMOMANNU</v>
          </cell>
          <cell r="H1433" t="str">
            <v>CA</v>
          </cell>
          <cell r="I1433" t="str">
            <v>ITALIA</v>
          </cell>
          <cell r="J1433" t="str">
            <v>340-3999018</v>
          </cell>
        </row>
        <row r="1434">
          <cell r="B1434">
            <v>6601</v>
          </cell>
          <cell r="C1434" t="str">
            <v>LA BOTTEGA DEL  CAFFE' S.R.L.S.</v>
          </cell>
          <cell r="D1434" t="str">
            <v>11882300012 11882300012</v>
          </cell>
          <cell r="E1434" t="str">
            <v>CORSO GALILEO  FERRARIS, 80</v>
          </cell>
          <cell r="F1434">
            <v>10100</v>
          </cell>
          <cell r="G1434" t="str">
            <v>TORINO</v>
          </cell>
          <cell r="H1434" t="str">
            <v>TO</v>
          </cell>
          <cell r="I1434" t="str">
            <v>ITALIA</v>
          </cell>
          <cell r="J1434" t="str">
            <v>338-7943981</v>
          </cell>
        </row>
        <row r="1435">
          <cell r="B1435">
            <v>6572</v>
          </cell>
          <cell r="C1435" t="str">
            <v>LA BOTTEGA DEL CAFFE' S.N.C.</v>
          </cell>
          <cell r="D1435" t="str">
            <v>03515400046 03515400046</v>
          </cell>
          <cell r="E1435" t="str">
            <v>VIA CARMAGNOLA, 21</v>
          </cell>
          <cell r="F1435">
            <v>10060</v>
          </cell>
          <cell r="G1435" t="str">
            <v>PANCALIERI</v>
          </cell>
          <cell r="H1435" t="str">
            <v>TO</v>
          </cell>
          <cell r="I1435" t="str">
            <v>ITALIA</v>
          </cell>
          <cell r="J1435" t="str">
            <v xml:space="preserve">011-9713885 </v>
          </cell>
        </row>
        <row r="1436">
          <cell r="B1436">
            <v>4696</v>
          </cell>
          <cell r="C1436" t="str">
            <v>LA BOTTEGA DELLA  CIALDA DI  FERRARO VILMAR</v>
          </cell>
          <cell r="D1436" t="str">
            <v>03414130124 FRRVMR72D29B300 W</v>
          </cell>
          <cell r="E1436" t="str">
            <v>VIA MAGENTA, 12</v>
          </cell>
          <cell r="F1436">
            <v>21013</v>
          </cell>
          <cell r="G1436" t="str">
            <v>GALLARATE</v>
          </cell>
          <cell r="H1436" t="str">
            <v>VA</v>
          </cell>
          <cell r="I1436" t="str">
            <v>ITALIA</v>
          </cell>
          <cell r="J1436" t="str">
            <v>0331-1860600</v>
          </cell>
        </row>
        <row r="1437">
          <cell r="B1437">
            <v>6791</v>
          </cell>
          <cell r="C1437" t="str">
            <v>LA BOTTEGA DELLE  CIALDE</v>
          </cell>
          <cell r="D1437" t="str">
            <v>10671980968 10671980968</v>
          </cell>
          <cell r="E1437" t="str">
            <v>VIA MILANO, 17</v>
          </cell>
          <cell r="F1437">
            <v>20090</v>
          </cell>
          <cell r="G1437" t="str">
            <v>CESANO  BOSCONE</v>
          </cell>
          <cell r="H1437" t="str">
            <v>MI</v>
          </cell>
          <cell r="I1437" t="str">
            <v>ITALIA</v>
          </cell>
          <cell r="J1437" t="str">
            <v>392-0431682</v>
          </cell>
        </row>
        <row r="1438">
          <cell r="B1438">
            <v>7111</v>
          </cell>
          <cell r="C1438" t="str">
            <v>LA BOTTEGA DELLE  CIALDE</v>
          </cell>
          <cell r="D1438" t="str">
            <v>03750890125 TCCBDS65P20I441 Q</v>
          </cell>
          <cell r="E1438" t="str">
            <v>VIA RONCHETTI, 563</v>
          </cell>
          <cell r="F1438">
            <v>21044</v>
          </cell>
          <cell r="G1438" t="str">
            <v>CAVARIA CON  PREMEZZO</v>
          </cell>
          <cell r="H1438" t="str">
            <v>VA</v>
          </cell>
          <cell r="I1438" t="str">
            <v>ITALIA</v>
          </cell>
          <cell r="J1438" t="str">
            <v>0331-1496394</v>
          </cell>
        </row>
        <row r="1439">
          <cell r="B1439">
            <v>6688</v>
          </cell>
          <cell r="C1439" t="str">
            <v>LA BOTTEGA DELLE  CIALDE DI  CONGIUSTA PAOLA</v>
          </cell>
          <cell r="D1439" t="str">
            <v>11701090018 CNGPLA77M60L219J</v>
          </cell>
          <cell r="E1439" t="str">
            <v>VIA ROMA, 39</v>
          </cell>
          <cell r="F1439">
            <v>10060</v>
          </cell>
          <cell r="G1439" t="str">
            <v>NONE</v>
          </cell>
          <cell r="H1439" t="str">
            <v>TO</v>
          </cell>
          <cell r="I1439" t="str">
            <v>ITALIA</v>
          </cell>
          <cell r="J1439" t="str">
            <v>391-7295732</v>
          </cell>
        </row>
        <row r="1440">
          <cell r="B1440">
            <v>4810</v>
          </cell>
          <cell r="C1440" t="str">
            <v>LA BOTTEGA DELLE  CIALDE DI  FRANCICA ANTONIO</v>
          </cell>
          <cell r="D1440" t="str">
            <v>11504020014 FRNNTN86L01H355V</v>
          </cell>
          <cell r="E1440" t="str">
            <v>VIA SERENA, 42</v>
          </cell>
          <cell r="F1440">
            <v>10090</v>
          </cell>
          <cell r="G1440" t="str">
            <v>SANGANO</v>
          </cell>
          <cell r="H1440" t="str">
            <v>TO</v>
          </cell>
          <cell r="I1440" t="str">
            <v>ITALIA</v>
          </cell>
          <cell r="J1440" t="str">
            <v>011-2636023</v>
          </cell>
        </row>
        <row r="1441">
          <cell r="B1441">
            <v>6510</v>
          </cell>
          <cell r="C1441" t="str">
            <v>LA BOTTEGA DELLE  CIALDE DI MARCOLI  MARCO</v>
          </cell>
          <cell r="D1441" t="str">
            <v>09951740969 MRCMRC85T15D19 8P</v>
          </cell>
          <cell r="E1441" t="str">
            <v>LARGO DON LINO  BERETTA, 3</v>
          </cell>
          <cell r="F1441">
            <v>20029</v>
          </cell>
          <cell r="G1441" t="str">
            <v>TURBIGO</v>
          </cell>
          <cell r="H1441" t="str">
            <v>MI</v>
          </cell>
          <cell r="I1441" t="str">
            <v>ITALIA</v>
          </cell>
          <cell r="J1441" t="str">
            <v>389-6773916</v>
          </cell>
        </row>
        <row r="1442">
          <cell r="B1442">
            <v>4846</v>
          </cell>
          <cell r="C1442" t="str">
            <v>LA BOTTEGA DELLE  CIALDE DI MORELLI  DONATO</v>
          </cell>
          <cell r="D1442" t="str">
            <v>11355200012 MRLDTG59M30A533 Z</v>
          </cell>
          <cell r="E1442" t="str">
            <v>VIA BUENOS AIRES, 81/A</v>
          </cell>
          <cell r="F1442">
            <v>10137</v>
          </cell>
          <cell r="G1442" t="str">
            <v>TORINO</v>
          </cell>
          <cell r="H1442" t="str">
            <v>TO</v>
          </cell>
          <cell r="I1442" t="str">
            <v>ITALIA</v>
          </cell>
          <cell r="J1442" t="str">
            <v>345-2114014</v>
          </cell>
        </row>
        <row r="1443">
          <cell r="B1443">
            <v>6891</v>
          </cell>
          <cell r="C1443" t="str">
            <v>LA BOTTEGA DELLE  CIALDE DI ROCCA  CRISTIAN</v>
          </cell>
          <cell r="D1443" t="str">
            <v>04399260167 RCCCST83T13E507 W</v>
          </cell>
          <cell r="E1443" t="str">
            <v>LARGO IV NOVEMBRE, 15</v>
          </cell>
          <cell r="F1443">
            <v>24036</v>
          </cell>
          <cell r="G1443" t="str">
            <v>PONTE SAN  PIETRO</v>
          </cell>
          <cell r="H1443" t="str">
            <v>BG</v>
          </cell>
          <cell r="I1443" t="str">
            <v>ITALIA</v>
          </cell>
          <cell r="J1443" t="str">
            <v>393-8298593</v>
          </cell>
        </row>
        <row r="1444">
          <cell r="B1444">
            <v>6719</v>
          </cell>
          <cell r="C1444" t="str">
            <v>LA BOTTEGA DELLE  CIALDE DI ROTELLA  PIER LUIGI</v>
          </cell>
          <cell r="D1444" t="str">
            <v>11361740019 RTLPLG69H13L219N</v>
          </cell>
          <cell r="E1444" t="str">
            <v>CORSO BELGIO 58/A</v>
          </cell>
          <cell r="F1444">
            <v>10153</v>
          </cell>
          <cell r="G1444" t="str">
            <v>TORINO</v>
          </cell>
          <cell r="H1444" t="str">
            <v>TO</v>
          </cell>
          <cell r="I1444" t="str">
            <v>ITALIA</v>
          </cell>
          <cell r="J1444" t="str">
            <v>335-1851319</v>
          </cell>
        </row>
        <row r="1445">
          <cell r="B1445">
            <v>7835</v>
          </cell>
          <cell r="C1445" t="str">
            <v>LA BOTTEGA DELLE CIALDE DI ALABISIO ROBERTO</v>
          </cell>
          <cell r="E1445" t="str">
            <v>VIA MARCO POLO, 8</v>
          </cell>
          <cell r="F1445">
            <v>21010</v>
          </cell>
          <cell r="G1445" t="str">
            <v>FERNO</v>
          </cell>
          <cell r="H1445" t="str">
            <v>VA</v>
          </cell>
          <cell r="I1445" t="str">
            <v>ITALIA</v>
          </cell>
          <cell r="J1445" t="str">
            <v>348-8596381</v>
          </cell>
        </row>
        <row r="1446">
          <cell r="B1446">
            <v>6588</v>
          </cell>
          <cell r="C1446" t="str">
            <v>LA BOTTEGA DELLE CIALDE DI CASTELLI SIMONA</v>
          </cell>
          <cell r="D1446" t="str">
            <v>02583630187 CSTSMN71P64F205 P</v>
          </cell>
          <cell r="E1446" t="str">
            <v>VIA MATTEI,38</v>
          </cell>
          <cell r="F1446">
            <v>27020</v>
          </cell>
          <cell r="G1446" t="str">
            <v>MARCIGNAGO</v>
          </cell>
          <cell r="H1446" t="str">
            <v>PV</v>
          </cell>
          <cell r="I1446" t="str">
            <v>ITALIA</v>
          </cell>
          <cell r="J1446" t="str">
            <v>0382-310548</v>
          </cell>
        </row>
        <row r="1447">
          <cell r="B1447">
            <v>7687</v>
          </cell>
          <cell r="C1447" t="str">
            <v>LA BOTTEGA DELLE CIALDE DI TORTELLI FAUSTO</v>
          </cell>
          <cell r="E1447" t="str">
            <v>VIA ALDO MORO, 17</v>
          </cell>
          <cell r="F1447">
            <v>21012</v>
          </cell>
          <cell r="G1447" t="str">
            <v>CASSANO MAGNAGO</v>
          </cell>
          <cell r="H1447" t="str">
            <v>VA</v>
          </cell>
          <cell r="I1447" t="str">
            <v>ITALIA</v>
          </cell>
        </row>
        <row r="1448">
          <cell r="B1448">
            <v>6955</v>
          </cell>
          <cell r="C1448" t="str">
            <v>LA BOTTEGA DELLE CIALDE-OULX</v>
          </cell>
          <cell r="D1448" t="str">
            <v>12237360016 LMDPNG68B20L219 Y</v>
          </cell>
          <cell r="E1448" t="str">
            <v>VIA ROMA, 35</v>
          </cell>
          <cell r="F1448">
            <v>10056</v>
          </cell>
          <cell r="G1448" t="str">
            <v>OULX</v>
          </cell>
          <cell r="H1448" t="str">
            <v>TO</v>
          </cell>
          <cell r="I1448" t="str">
            <v>ITALIA</v>
          </cell>
          <cell r="J1448" t="str">
            <v>329-2067219</v>
          </cell>
        </row>
        <row r="1449">
          <cell r="B1449">
            <v>6440</v>
          </cell>
          <cell r="C1449" t="str">
            <v>LA BOTTEGACCIA S. A.S. DI RIPETTI  DANILA</v>
          </cell>
          <cell r="D1449" t="str">
            <v>01215540079 01215540079</v>
          </cell>
          <cell r="E1449" t="str">
            <v>LOC. BORGNALLE, 10</v>
          </cell>
          <cell r="F1449">
            <v>11100</v>
          </cell>
          <cell r="G1449" t="str">
            <v>AOSTA</v>
          </cell>
          <cell r="H1449" t="str">
            <v>AO</v>
          </cell>
          <cell r="I1449" t="str">
            <v>ITALIA</v>
          </cell>
          <cell r="J1449" t="str">
            <v>335-1459286</v>
          </cell>
        </row>
        <row r="1450">
          <cell r="B1450">
            <v>6907</v>
          </cell>
          <cell r="C1450" t="str">
            <v>LA BOTTIGLIERIA DI  DOROTEA SCALETTA</v>
          </cell>
          <cell r="D1450" t="str">
            <v>09497360967 SCLDTM65E61F205 B</v>
          </cell>
          <cell r="E1450" t="str">
            <v>VIA VIDISERTI, 8</v>
          </cell>
          <cell r="F1450">
            <v>20017</v>
          </cell>
          <cell r="G1450" t="str">
            <v>RHO</v>
          </cell>
          <cell r="H1450" t="str">
            <v>MI</v>
          </cell>
          <cell r="I1450" t="str">
            <v>ITALIA</v>
          </cell>
          <cell r="J1450" t="str">
            <v>02-39562261</v>
          </cell>
        </row>
        <row r="1451">
          <cell r="B1451">
            <v>4806</v>
          </cell>
          <cell r="C1451" t="str">
            <v>LA BOUTIQUE DEL  CAFFE' DI  CAPPUCCIATI  RAFFAELLA</v>
          </cell>
          <cell r="D1451" t="str">
            <v>03620880041 CPPRFL83S62L219R</v>
          </cell>
          <cell r="E1451" t="str">
            <v>VIA FILIPETTI, 15</v>
          </cell>
          <cell r="F1451">
            <v>14053</v>
          </cell>
          <cell r="G1451" t="str">
            <v>CANELLI</v>
          </cell>
          <cell r="H1451" t="str">
            <v>AT</v>
          </cell>
          <cell r="I1451" t="str">
            <v>ITALIA</v>
          </cell>
          <cell r="J1451" t="str">
            <v>334-7366386</v>
          </cell>
        </row>
        <row r="1452">
          <cell r="B1452">
            <v>2572</v>
          </cell>
          <cell r="C1452" t="str">
            <v>LA BOUTIQUE DEL  CAFFE' DI LETA  GIUSEPPE</v>
          </cell>
          <cell r="D1452" t="str">
            <v>02354100964 LTEGPP64A24C013 U</v>
          </cell>
          <cell r="E1452" t="str">
            <v>VIA LORETO, 3</v>
          </cell>
          <cell r="F1452">
            <v>20035</v>
          </cell>
          <cell r="G1452" t="str">
            <v>LISSONE</v>
          </cell>
          <cell r="H1452" t="str">
            <v>MI</v>
          </cell>
          <cell r="I1452" t="str">
            <v>ITALIA</v>
          </cell>
          <cell r="J1452" t="str">
            <v xml:space="preserve">039-465065 </v>
          </cell>
        </row>
        <row r="1453">
          <cell r="B1453">
            <v>6624</v>
          </cell>
          <cell r="C1453" t="str">
            <v>LA BOUTIQUE DEL  CAFFE' DI RESTIVO  M.</v>
          </cell>
          <cell r="D1453" t="str">
            <v>10091960962 RSTMRM87L57E932 B</v>
          </cell>
          <cell r="E1453" t="str">
            <v>PIAZZA KENNEDY, 20</v>
          </cell>
          <cell r="F1453">
            <v>19124</v>
          </cell>
          <cell r="G1453" t="str">
            <v>LA SPEZIA</v>
          </cell>
          <cell r="H1453" t="str">
            <v>SP</v>
          </cell>
          <cell r="I1453" t="str">
            <v>ITALIA</v>
          </cell>
          <cell r="J1453" t="str">
            <v>331-4071971</v>
          </cell>
        </row>
        <row r="1454">
          <cell r="B1454">
            <v>4695</v>
          </cell>
          <cell r="C1454" t="str">
            <v>LA BOUTIQUE DEL  CAFFE' DI TIZIANA  ARNAUD</v>
          </cell>
          <cell r="D1454" t="str">
            <v>11307100013 RNDTZN75C52A518 X</v>
          </cell>
          <cell r="E1454" t="str">
            <v>CORSO MONCENISIO, 30</v>
          </cell>
          <cell r="F1454">
            <v>10057</v>
          </cell>
          <cell r="G1454" t="str">
            <v>SANT' AMBROGIO DI  TORINO</v>
          </cell>
          <cell r="H1454" t="str">
            <v>TO</v>
          </cell>
          <cell r="I1454" t="str">
            <v>ITALIA</v>
          </cell>
          <cell r="J1454" t="str">
            <v>338-4699826</v>
          </cell>
        </row>
        <row r="1455">
          <cell r="B1455">
            <v>7627</v>
          </cell>
          <cell r="C1455" t="str">
            <v>LA BOUTIQUE DEL CAFFE' DI AMATO ANGELA</v>
          </cell>
          <cell r="E1455" t="str">
            <v>VIA EMILIA EST 58/B</v>
          </cell>
          <cell r="F1455">
            <v>29010</v>
          </cell>
          <cell r="G1455" t="str">
            <v>SAN NICOLO' DI ROTTOFRENO</v>
          </cell>
          <cell r="H1455" t="str">
            <v>PC</v>
          </cell>
          <cell r="I1455" t="str">
            <v>ITALIA</v>
          </cell>
          <cell r="J1455" t="str">
            <v>340-3738392</v>
          </cell>
        </row>
        <row r="1456">
          <cell r="B1456">
            <v>10269</v>
          </cell>
          <cell r="C1456" t="str">
            <v>LA BOUTIQUE DEL CAFFE' S.R.L.</v>
          </cell>
          <cell r="E1456" t="str">
            <v>VIA VENETO, 11/B</v>
          </cell>
          <cell r="F1456">
            <v>35043</v>
          </cell>
          <cell r="G1456" t="str">
            <v>MONSELICE</v>
          </cell>
          <cell r="H1456" t="str">
            <v>PD</v>
          </cell>
          <cell r="I1456" t="str">
            <v>ITALIA</v>
          </cell>
          <cell r="J1456">
            <v>498591750</v>
          </cell>
        </row>
        <row r="1457">
          <cell r="B1457">
            <v>6790</v>
          </cell>
          <cell r="C1457" t="str">
            <v>LA BOUTIQUE DEL GUSTO &amp; CAFFE'  S.A.S.</v>
          </cell>
          <cell r="D1457" t="str">
            <v>12056460012 12056460012</v>
          </cell>
          <cell r="E1457" t="str">
            <v>C.SO MONCENISIO, 30</v>
          </cell>
          <cell r="F1457">
            <v>10057</v>
          </cell>
          <cell r="G1457" t="str">
            <v>SANT'AMBROGIO</v>
          </cell>
          <cell r="H1457" t="str">
            <v>TO</v>
          </cell>
          <cell r="I1457" t="str">
            <v>ITALIA</v>
          </cell>
          <cell r="J1457" t="str">
            <v>338-4699826</v>
          </cell>
        </row>
        <row r="1458">
          <cell r="B1458">
            <v>4722</v>
          </cell>
          <cell r="C1458" t="str">
            <v>LA BOUTIQUE DU  CAFE</v>
          </cell>
          <cell r="D1458" t="str">
            <v>01926040039 BSLPLA77A01F952Y</v>
          </cell>
          <cell r="E1458" t="str">
            <v>VIALE ROMA, 25 H</v>
          </cell>
          <cell r="F1458">
            <v>28100</v>
          </cell>
          <cell r="G1458" t="str">
            <v>NOVARA</v>
          </cell>
          <cell r="H1458" t="str">
            <v>NO</v>
          </cell>
          <cell r="I1458" t="str">
            <v>ITALIA</v>
          </cell>
          <cell r="J1458" t="str">
            <v>347-5122925</v>
          </cell>
        </row>
        <row r="1459">
          <cell r="B1459">
            <v>2865</v>
          </cell>
          <cell r="C1459" t="str">
            <v>LA BRASILIANA  DI ZAMBELLI S.A.S.</v>
          </cell>
          <cell r="D1459" t="str">
            <v>00210860128 00210860128</v>
          </cell>
          <cell r="E1459" t="str">
            <v>VIA MAGATTI, 2</v>
          </cell>
          <cell r="F1459">
            <v>21100</v>
          </cell>
          <cell r="G1459" t="str">
            <v>VARESE</v>
          </cell>
          <cell r="H1459" t="str">
            <v>VA</v>
          </cell>
          <cell r="I1459" t="str">
            <v>ITALIA</v>
          </cell>
          <cell r="J1459" t="str">
            <v>0332-282338</v>
          </cell>
        </row>
        <row r="1460">
          <cell r="B1460">
            <v>6847</v>
          </cell>
          <cell r="C1460" t="str">
            <v>LA CAFFETTERIA DI  ZANETTI ELENA</v>
          </cell>
          <cell r="D1460" t="str">
            <v>03975920988 ZNTLNE80L49B157A</v>
          </cell>
          <cell r="E1460" t="str">
            <v>VIA PAPA GIOVANNI  XXIII, 1</v>
          </cell>
          <cell r="F1460">
            <v>25030</v>
          </cell>
          <cell r="G1460" t="str">
            <v>COCCAGLIO</v>
          </cell>
          <cell r="H1460" t="str">
            <v>BS</v>
          </cell>
          <cell r="I1460" t="str">
            <v>ITALIA</v>
          </cell>
          <cell r="J1460" t="str">
            <v>333-8044773</v>
          </cell>
        </row>
        <row r="1461">
          <cell r="B1461">
            <v>6724</v>
          </cell>
          <cell r="C1461" t="str">
            <v>LA CASA DEL CAFFE'  CAPSULE E CIALDE  SRLS</v>
          </cell>
          <cell r="D1461" t="str">
            <v>03674740125 03674740125</v>
          </cell>
          <cell r="E1461" t="str">
            <v>VIA MONTELLO, 1</v>
          </cell>
          <cell r="F1461">
            <v>21020</v>
          </cell>
          <cell r="G1461" t="str">
            <v>BUGUGGIATE</v>
          </cell>
          <cell r="H1461" t="str">
            <v>VA</v>
          </cell>
          <cell r="I1461" t="str">
            <v>ITALIA</v>
          </cell>
          <cell r="J1461" t="str">
            <v>329-7741200</v>
          </cell>
        </row>
        <row r="1462">
          <cell r="B1462">
            <v>3489</v>
          </cell>
          <cell r="C1462" t="str">
            <v>LA CENTRALE DEL LATTE DI ALESSANDRIA E ASTI S.P.A.</v>
          </cell>
          <cell r="D1462" t="str">
            <v>00161030069 00161030069</v>
          </cell>
          <cell r="E1462" t="str">
            <v>VIALE  MASSOBRIO, 10/12</v>
          </cell>
          <cell r="F1462">
            <v>15100</v>
          </cell>
          <cell r="G1462" t="str">
            <v>ALESSANDRIA</v>
          </cell>
          <cell r="H1462" t="str">
            <v>AL</v>
          </cell>
          <cell r="I1462" t="str">
            <v>ITALIA</v>
          </cell>
          <cell r="J1462" t="str">
            <v>0131-360511</v>
          </cell>
        </row>
        <row r="1463">
          <cell r="B1463">
            <v>4886</v>
          </cell>
          <cell r="C1463" t="str">
            <v>LA CHANCE DI  SCARCELLI  ROBERTO</v>
          </cell>
          <cell r="D1463" t="str">
            <v>11556270012 SCRRRT82E22L219L</v>
          </cell>
          <cell r="E1463" t="str">
            <v>VIA NOASCA, 20</v>
          </cell>
          <cell r="F1463">
            <v>10100</v>
          </cell>
          <cell r="G1463" t="str">
            <v>TORINO</v>
          </cell>
          <cell r="H1463" t="str">
            <v>TO</v>
          </cell>
          <cell r="I1463" t="str">
            <v>ITALIA</v>
          </cell>
          <cell r="J1463" t="str">
            <v>339-3586650</v>
          </cell>
        </row>
        <row r="1464">
          <cell r="B1464">
            <v>6526</v>
          </cell>
          <cell r="C1464" t="str">
            <v>LA CIALDERIA  DI GRANDI MANUELA</v>
          </cell>
          <cell r="D1464" t="str">
            <v>09647830968 GRNMNL55S55F205 K</v>
          </cell>
          <cell r="E1464" t="str">
            <v>VIA GIANNETTO MATTEI,  52</v>
          </cell>
          <cell r="F1464">
            <v>20020</v>
          </cell>
          <cell r="G1464" t="str">
            <v>ARESE</v>
          </cell>
          <cell r="H1464" t="str">
            <v>MI</v>
          </cell>
          <cell r="I1464" t="str">
            <v>ITALIA</v>
          </cell>
          <cell r="J1464" t="str">
            <v>02-23168228</v>
          </cell>
        </row>
        <row r="1465">
          <cell r="B1465">
            <v>7390</v>
          </cell>
          <cell r="C1465" t="str">
            <v>LA CIALDERIA DI  CAPONOTTO LAURA</v>
          </cell>
          <cell r="D1465" t="str">
            <v>11516860969 CPNLRA85B55H264 Y</v>
          </cell>
          <cell r="E1465" t="str">
            <v>VIA G. MATTEI, 52</v>
          </cell>
          <cell r="F1465">
            <v>20020</v>
          </cell>
          <cell r="G1465" t="str">
            <v>ARESE</v>
          </cell>
          <cell r="H1465" t="str">
            <v>MI</v>
          </cell>
          <cell r="I1465" t="str">
            <v>ITALIA</v>
          </cell>
          <cell r="J1465" t="str">
            <v>02-23168228</v>
          </cell>
        </row>
        <row r="1466">
          <cell r="B1466">
            <v>7977</v>
          </cell>
          <cell r="C1466" t="str">
            <v>LA COFFE TIME S.R.L.</v>
          </cell>
          <cell r="E1466" t="str">
            <v>VIA G. DI VITTORIO, 31/7</v>
          </cell>
          <cell r="F1466">
            <v>20068</v>
          </cell>
          <cell r="G1466" t="str">
            <v>PESCHIERA BORROMEO</v>
          </cell>
          <cell r="H1466" t="str">
            <v>MI</v>
          </cell>
          <cell r="I1466" t="str">
            <v>ITALIA</v>
          </cell>
          <cell r="J1466" t="str">
            <v>02-36593510</v>
          </cell>
        </row>
        <row r="1467">
          <cell r="B1467">
            <v>5967</v>
          </cell>
          <cell r="C1467" t="str">
            <v>LA COSTARICA S.R. L.</v>
          </cell>
          <cell r="D1467" t="str">
            <v>01333380010</v>
          </cell>
          <cell r="E1467" t="str">
            <v>VIA AOSTA, 21</v>
          </cell>
          <cell r="F1467">
            <v>10078</v>
          </cell>
          <cell r="G1467" t="str">
            <v>VENARIA REALE</v>
          </cell>
          <cell r="H1467" t="str">
            <v>TO</v>
          </cell>
          <cell r="I1467" t="str">
            <v>ITALIA</v>
          </cell>
          <cell r="J1467" t="str">
            <v>011-4241827</v>
          </cell>
        </row>
        <row r="1468">
          <cell r="B1468">
            <v>4609</v>
          </cell>
          <cell r="C1468" t="str">
            <v>LA DAMA GOLOSA  DI SANTERNECCHI  CLAUDIO</v>
          </cell>
          <cell r="D1468" t="str">
            <v>01404290114 01404290114</v>
          </cell>
          <cell r="E1468" t="str">
            <v>VIA GIULIO DELLA TORRE, 66</v>
          </cell>
          <cell r="F1468">
            <v>19126</v>
          </cell>
          <cell r="G1468" t="str">
            <v>LA SPEZIA</v>
          </cell>
          <cell r="H1468" t="str">
            <v>SP</v>
          </cell>
          <cell r="I1468" t="str">
            <v>ITALIA</v>
          </cell>
          <cell r="J1468" t="str">
            <v>335-6842959</v>
          </cell>
        </row>
        <row r="1469">
          <cell r="B1469">
            <v>1756</v>
          </cell>
          <cell r="C1469" t="str">
            <v>LA FUTURA S.N. C. DI GALOTTA F. &amp;  VERGANI O.</v>
          </cell>
          <cell r="D1469" t="str">
            <v>02730710965 02730710965</v>
          </cell>
          <cell r="E1469" t="str">
            <v>VIA PIZZO SCALINO, 14</v>
          </cell>
          <cell r="F1469">
            <v>20030</v>
          </cell>
          <cell r="G1469" t="str">
            <v>PAINA DI  GIUSSANO</v>
          </cell>
          <cell r="H1469" t="str">
            <v>MB</v>
          </cell>
          <cell r="I1469" t="str">
            <v>ITALIA</v>
          </cell>
          <cell r="J1469" t="str">
            <v>0362-310282</v>
          </cell>
        </row>
        <row r="1470">
          <cell r="B1470">
            <v>5673</v>
          </cell>
          <cell r="C1470" t="str">
            <v>LA GRANCORI  DISTR. AUTOM. DI  GRANDE DANADIO</v>
          </cell>
          <cell r="D1470" t="str">
            <v>06547740016 GRNDND63E29B462 T</v>
          </cell>
          <cell r="E1470" t="str">
            <v>VIA ISEPPON, 2</v>
          </cell>
          <cell r="F1470">
            <v>10078</v>
          </cell>
          <cell r="G1470" t="str">
            <v>VENARIA</v>
          </cell>
          <cell r="H1470" t="str">
            <v>TO</v>
          </cell>
          <cell r="I1470" t="str">
            <v>ITALIA</v>
          </cell>
          <cell r="J1470" t="str">
            <v>011-9442255</v>
          </cell>
        </row>
        <row r="1471">
          <cell r="B1471">
            <v>7074</v>
          </cell>
          <cell r="C1471" t="str">
            <v>LA MANNA  COSTANTINO</v>
          </cell>
          <cell r="D1471" t="str">
            <v>LMNCTN81C26M072 C</v>
          </cell>
          <cell r="E1471" t="str">
            <v>VIA DELLA PACE, 306</v>
          </cell>
          <cell r="F1471">
            <v>41058</v>
          </cell>
          <cell r="G1471" t="str">
            <v>VIGNOLA</v>
          </cell>
          <cell r="H1471" t="str">
            <v>MO</v>
          </cell>
          <cell r="I1471" t="str">
            <v>ITALIA</v>
          </cell>
          <cell r="J1471" t="str">
            <v>327-0316056</v>
          </cell>
        </row>
        <row r="1472">
          <cell r="B1472">
            <v>6142</v>
          </cell>
          <cell r="C1472" t="str">
            <v>LA MARGHERITA DI  MARGHERITA  BARAVALLE</v>
          </cell>
          <cell r="D1472" t="str">
            <v>08815430015 BRVMGH63D54H890 G</v>
          </cell>
          <cell r="E1472" t="str">
            <v>VIA DANTE, 17</v>
          </cell>
          <cell r="F1472">
            <v>10090</v>
          </cell>
          <cell r="G1472" t="str">
            <v>SAN GIORGIO  CAN.SE</v>
          </cell>
          <cell r="H1472" t="str">
            <v>TO</v>
          </cell>
          <cell r="I1472" t="str">
            <v>ITALIA</v>
          </cell>
          <cell r="J1472" t="str">
            <v>012-4450789</v>
          </cell>
        </row>
        <row r="1473">
          <cell r="B1473">
            <v>4654</v>
          </cell>
          <cell r="C1473" t="str">
            <v>LA MARVES S.R.L.</v>
          </cell>
          <cell r="D1473" t="str">
            <v>07180080157 07180080157</v>
          </cell>
          <cell r="E1473" t="str">
            <v>VIA MELZI D' ERIL, 29</v>
          </cell>
          <cell r="F1473">
            <v>20154</v>
          </cell>
          <cell r="G1473" t="str">
            <v>MILANO</v>
          </cell>
          <cell r="H1473" t="str">
            <v>MI</v>
          </cell>
          <cell r="I1473" t="str">
            <v>ITALIA</v>
          </cell>
          <cell r="J1473" t="str">
            <v>02-606078</v>
          </cell>
        </row>
        <row r="1474">
          <cell r="B1474">
            <v>7070</v>
          </cell>
          <cell r="C1474" t="str">
            <v>LA MODERNA MARMI  SRL</v>
          </cell>
          <cell r="D1474" t="str">
            <v>02088020231 02088020231</v>
          </cell>
          <cell r="E1474" t="str">
            <v>VIA DOMENICO DA LUGO  23</v>
          </cell>
          <cell r="F1474">
            <v>37023</v>
          </cell>
          <cell r="G1474" t="str">
            <v>GREZZANA</v>
          </cell>
          <cell r="H1474" t="str">
            <v>VR</v>
          </cell>
          <cell r="I1474" t="str">
            <v>ITALIA</v>
          </cell>
          <cell r="J1474" t="str">
            <v>045-8801141</v>
          </cell>
        </row>
        <row r="1475">
          <cell r="B1475">
            <v>165</v>
          </cell>
          <cell r="C1475" t="str">
            <v>LA MODERNISSIMA  DI MARCO  PAGANINI &amp; C. S.A. S.</v>
          </cell>
          <cell r="D1475" t="str">
            <v>00180850125 00180850125</v>
          </cell>
          <cell r="E1475" t="str">
            <v>VIA BRENO, 8</v>
          </cell>
          <cell r="F1475">
            <v>21052</v>
          </cell>
          <cell r="G1475" t="str">
            <v>BUSTO ARSIZIO</v>
          </cell>
          <cell r="H1475" t="str">
            <v>VA</v>
          </cell>
          <cell r="I1475" t="str">
            <v>ITALIA</v>
          </cell>
          <cell r="J1475" t="str">
            <v>0331-631625</v>
          </cell>
        </row>
        <row r="1476">
          <cell r="B1476">
            <v>3782</v>
          </cell>
          <cell r="C1476" t="str">
            <v>LA MONETINA DI  FASSETTA BARBARA</v>
          </cell>
          <cell r="D1476" t="str">
            <v>10346650012 FSSBBR76P56E020L</v>
          </cell>
          <cell r="E1476" t="str">
            <v>PIAZZA GRAMSCI, 6</v>
          </cell>
          <cell r="F1476">
            <v>10050</v>
          </cell>
          <cell r="G1476" t="str">
            <v>COAZZE</v>
          </cell>
          <cell r="H1476" t="str">
            <v>TO</v>
          </cell>
          <cell r="I1476" t="str">
            <v>ITALIA</v>
          </cell>
          <cell r="J1476" t="str">
            <v>349-7946547</v>
          </cell>
        </row>
        <row r="1477">
          <cell r="B1477">
            <v>6664</v>
          </cell>
          <cell r="C1477" t="str">
            <v>LA NUOVA  TORREFAZIONE DI  MELISSA PILLONI</v>
          </cell>
          <cell r="D1477" t="str">
            <v>02659260026 PLLMSS94P63L750F</v>
          </cell>
          <cell r="E1477" t="str">
            <v>CORSO CAVOUR, 73/A</v>
          </cell>
          <cell r="F1477">
            <v>13039</v>
          </cell>
          <cell r="G1477" t="str">
            <v>TRINO</v>
          </cell>
          <cell r="H1477" t="str">
            <v>VC</v>
          </cell>
          <cell r="I1477" t="str">
            <v>ITALIA</v>
          </cell>
          <cell r="J1477" t="str">
            <v>347-6963167</v>
          </cell>
        </row>
        <row r="1478">
          <cell r="B1478">
            <v>3539</v>
          </cell>
          <cell r="C1478" t="str">
            <v>LA NUOVA S.E.T. DI  MINGUZZI ROMOLO</v>
          </cell>
          <cell r="D1478" t="str">
            <v>01419900053 MNGRLG54C14L219 N</v>
          </cell>
          <cell r="E1478" t="str">
            <v>VIA ALFIERI 32</v>
          </cell>
          <cell r="F1478">
            <v>14030</v>
          </cell>
          <cell r="G1478" t="str">
            <v>REFRANCORE</v>
          </cell>
          <cell r="H1478" t="str">
            <v>AT</v>
          </cell>
          <cell r="I1478" t="str">
            <v>ITALIA</v>
          </cell>
          <cell r="J1478" t="str">
            <v xml:space="preserve">011-751010 </v>
          </cell>
        </row>
        <row r="1479">
          <cell r="B1479">
            <v>6559</v>
          </cell>
          <cell r="C1479" t="str">
            <v>LA NUOVA STAR  DEL CAFFE' DI  ANDREA NAVANZINO</v>
          </cell>
          <cell r="D1479" t="str">
            <v>02473110993 NVNNDR97P12D969 E</v>
          </cell>
          <cell r="E1479" t="str">
            <v>VIA PIACENZA, 280 R</v>
          </cell>
          <cell r="F1479">
            <v>16138</v>
          </cell>
          <cell r="G1479" t="str">
            <v>GENOVA</v>
          </cell>
          <cell r="H1479" t="str">
            <v>GE</v>
          </cell>
          <cell r="I1479" t="str">
            <v>ITALIA</v>
          </cell>
          <cell r="J1479" t="str">
            <v>335-398518</v>
          </cell>
        </row>
        <row r="1480">
          <cell r="B1480">
            <v>6531</v>
          </cell>
          <cell r="C1480" t="str">
            <v>LA PAUSA CAFFE'  SNACK &amp; DRINK DI DANTE  CAVECCHIA</v>
          </cell>
          <cell r="D1480" t="str">
            <v>11018490018 CVCDNT72P22L219 K</v>
          </cell>
          <cell r="E1480" t="str">
            <v>VIA CADORNA, 24</v>
          </cell>
          <cell r="F1480">
            <v>10136</v>
          </cell>
          <cell r="G1480" t="str">
            <v>TORINO</v>
          </cell>
          <cell r="H1480" t="str">
            <v>TO</v>
          </cell>
          <cell r="I1480" t="str">
            <v>ITALIA</v>
          </cell>
          <cell r="J1480" t="str">
            <v>344-1302656</v>
          </cell>
        </row>
        <row r="1481">
          <cell r="B1481">
            <v>10256</v>
          </cell>
          <cell r="C1481" t="str">
            <v>LA ROCCA S.N.C.</v>
          </cell>
          <cell r="E1481" t="str">
            <v>VIA DELL'ARTIGIANATO, 6</v>
          </cell>
          <cell r="F1481">
            <v>33050</v>
          </cell>
          <cell r="G1481" t="str">
            <v>TERZO D'AQUILEIA</v>
          </cell>
          <cell r="H1481" t="str">
            <v>UD</v>
          </cell>
          <cell r="I1481" t="str">
            <v>ITALIA</v>
          </cell>
          <cell r="J1481" t="str">
            <v>0431-373535</v>
          </cell>
        </row>
        <row r="1482">
          <cell r="B1482">
            <v>10257</v>
          </cell>
          <cell r="C1482" t="str">
            <v>LA ROCCA S.N.C. C/O FINCANTIERI</v>
          </cell>
          <cell r="E1482" t="str">
            <v>PIAZZALE COSULICH</v>
          </cell>
          <cell r="F1482">
            <v>34074</v>
          </cell>
          <cell r="G1482" t="str">
            <v>MONFALCONE</v>
          </cell>
          <cell r="H1482" t="str">
            <v>GO</v>
          </cell>
          <cell r="I1482" t="str">
            <v>ITALIA</v>
          </cell>
          <cell r="J1482" t="str">
            <v>0431-373535</v>
          </cell>
        </row>
        <row r="1483">
          <cell r="B1483">
            <v>7241</v>
          </cell>
          <cell r="C1483" t="str">
            <v>LA ROSA NUNZIATA</v>
          </cell>
          <cell r="D1483" t="str">
            <v>LRSNZT68B54C927 L</v>
          </cell>
          <cell r="E1483" t="str">
            <v>VIA SESTO SAN  GIOVANNI 21 - VILLINO 6</v>
          </cell>
          <cell r="F1483">
            <v>126</v>
          </cell>
          <cell r="G1483" t="str">
            <v>ROMA</v>
          </cell>
          <cell r="H1483" t="str">
            <v>RM</v>
          </cell>
          <cell r="I1483" t="str">
            <v>ITALIA</v>
          </cell>
          <cell r="J1483" t="str">
            <v>391-7287851</v>
          </cell>
        </row>
        <row r="1484">
          <cell r="B1484">
            <v>4056</v>
          </cell>
          <cell r="C1484" t="str">
            <v>LA SORGENTE SAS  DI PALAZZOLO &amp; C.</v>
          </cell>
          <cell r="D1484" t="str">
            <v>02058730991 02058730991</v>
          </cell>
          <cell r="E1484" t="str">
            <v>VIA MAXENA, 4F/6</v>
          </cell>
          <cell r="F1484">
            <v>16043</v>
          </cell>
          <cell r="G1484" t="str">
            <v>CHIAVARI</v>
          </cell>
          <cell r="H1484" t="str">
            <v>GE</v>
          </cell>
          <cell r="I1484" t="str">
            <v>ITALIA</v>
          </cell>
          <cell r="J1484" t="str">
            <v xml:space="preserve">0185-321030 </v>
          </cell>
        </row>
        <row r="1485">
          <cell r="B1485">
            <v>6630</v>
          </cell>
          <cell r="C1485" t="str">
            <v>LA STRADA PER IL  CAFFE' DI  CASTELLANA  ALBERTO</v>
          </cell>
          <cell r="D1485" t="str">
            <v>11705470018 CSTLRT88L06L219D</v>
          </cell>
          <cell r="E1485" t="str">
            <v>VIA PINEROLO, 55</v>
          </cell>
          <cell r="F1485">
            <v>10045</v>
          </cell>
          <cell r="G1485" t="str">
            <v>PIOSSASCO</v>
          </cell>
          <cell r="H1485" t="str">
            <v>TO</v>
          </cell>
          <cell r="I1485" t="str">
            <v>ITALIA</v>
          </cell>
          <cell r="J1485" t="str">
            <v>333-7124068</v>
          </cell>
        </row>
        <row r="1486">
          <cell r="B1486">
            <v>6129</v>
          </cell>
          <cell r="C1486" t="str">
            <v>LA TABACCHERIA  DI LOREDANA BUZZI</v>
          </cell>
          <cell r="D1486" t="str">
            <v>01422730182 BZZLDN63L55L872F</v>
          </cell>
          <cell r="E1486" t="str">
            <v>CORSO GENOVA, 116</v>
          </cell>
          <cell r="F1486">
            <v>27029</v>
          </cell>
          <cell r="G1486" t="str">
            <v>VIGEVANO</v>
          </cell>
          <cell r="H1486" t="str">
            <v>PV</v>
          </cell>
          <cell r="I1486" t="str">
            <v>ITALIA</v>
          </cell>
          <cell r="J1486" t="str">
            <v>0381-79668</v>
          </cell>
        </row>
        <row r="1487">
          <cell r="B1487">
            <v>1289</v>
          </cell>
          <cell r="C1487" t="str">
            <v>LA VELOX DI  RUGGERI NUNZIO</v>
          </cell>
          <cell r="D1487" t="str">
            <v>01006810038</v>
          </cell>
          <cell r="E1487" t="str">
            <v>VIA FIUME, 18</v>
          </cell>
          <cell r="F1487">
            <v>28100</v>
          </cell>
          <cell r="G1487" t="str">
            <v>NOVARA</v>
          </cell>
          <cell r="H1487" t="str">
            <v>NO</v>
          </cell>
          <cell r="I1487" t="str">
            <v>ITALIA</v>
          </cell>
          <cell r="J1487" t="str">
            <v>0321-454675</v>
          </cell>
        </row>
        <row r="1488">
          <cell r="B1488">
            <v>7242</v>
          </cell>
          <cell r="C1488" t="str">
            <v>LABBRUZZO  FRANCESCO</v>
          </cell>
          <cell r="D1488" t="str">
            <v>LBBFNC96E31H926 M</v>
          </cell>
          <cell r="E1488" t="str">
            <v>VIALE DEL LAVORO 13/N  scala D</v>
          </cell>
          <cell r="F1488">
            <v>74123</v>
          </cell>
          <cell r="G1488" t="str">
            <v>TARANTO</v>
          </cell>
          <cell r="H1488" t="str">
            <v>TA</v>
          </cell>
          <cell r="I1488" t="str">
            <v>ITALIA</v>
          </cell>
          <cell r="J1488" t="str">
            <v>366-3174045</v>
          </cell>
        </row>
        <row r="1489">
          <cell r="B1489">
            <v>7430</v>
          </cell>
          <cell r="C1489" t="str">
            <v>LAFUENTI LETIZIA</v>
          </cell>
          <cell r="D1489" t="str">
            <v>LFNLTZ76D64H501O</v>
          </cell>
          <cell r="E1489" t="str">
            <v>VIA DI GROTTAROSSA  1282</v>
          </cell>
          <cell r="F1489">
            <v>189</v>
          </cell>
          <cell r="G1489" t="str">
            <v>ROMA</v>
          </cell>
          <cell r="H1489" t="str">
            <v>RM</v>
          </cell>
          <cell r="I1489" t="str">
            <v>ITALIA</v>
          </cell>
          <cell r="J1489" t="str">
            <v>348-9003122</v>
          </cell>
        </row>
        <row r="1490">
          <cell r="B1490">
            <v>7363</v>
          </cell>
          <cell r="C1490" t="str">
            <v>LAGRUTTA  ANTONELLA</v>
          </cell>
          <cell r="D1490" t="str">
            <v>LGRNNL85M55E409 A</v>
          </cell>
          <cell r="E1490" t="str">
            <v>VIA FRANCESCO  SAVERIO NITTI, 19</v>
          </cell>
          <cell r="F1490">
            <v>85047</v>
          </cell>
          <cell r="G1490" t="str">
            <v>MOLITERNO</v>
          </cell>
          <cell r="H1490" t="str">
            <v>PZ</v>
          </cell>
          <cell r="I1490" t="str">
            <v>ITALIA</v>
          </cell>
          <cell r="J1490" t="str">
            <v>320-6855616</v>
          </cell>
        </row>
        <row r="1491">
          <cell r="B1491">
            <v>7483</v>
          </cell>
          <cell r="C1491" t="str">
            <v>LAMBORGHINI  GIAMPAOLO</v>
          </cell>
          <cell r="D1491" t="str">
            <v>LMBGPL72D17C469 O</v>
          </cell>
          <cell r="E1491" t="str">
            <v>VIA FRATELLI BONACATTI  34</v>
          </cell>
          <cell r="F1491">
            <v>41034</v>
          </cell>
          <cell r="G1491" t="str">
            <v>FINALE EMILIA</v>
          </cell>
          <cell r="H1491" t="str">
            <v>MO</v>
          </cell>
          <cell r="I1491" t="str">
            <v>ITALIA</v>
          </cell>
          <cell r="J1491" t="str">
            <v>347-8045616</v>
          </cell>
        </row>
        <row r="1492">
          <cell r="B1492">
            <v>6425</v>
          </cell>
          <cell r="C1492" t="str">
            <v>LANDRO ROCCO</v>
          </cell>
          <cell r="D1492" t="str">
            <v>09921480019 LNDRCC86A23L219 R</v>
          </cell>
          <cell r="E1492" t="str">
            <v>STRADA STUPINIGI, 20</v>
          </cell>
          <cell r="F1492">
            <v>10024</v>
          </cell>
          <cell r="G1492" t="str">
            <v>MONCALIERI</v>
          </cell>
          <cell r="H1492" t="str">
            <v>TO</v>
          </cell>
          <cell r="I1492" t="str">
            <v>ITALIA</v>
          </cell>
          <cell r="J1492" t="str">
            <v>339-6541793</v>
          </cell>
        </row>
        <row r="1493">
          <cell r="B1493">
            <v>6686</v>
          </cell>
          <cell r="C1493" t="str">
            <v>L'ANGOLO DEL  CAFFE' DI CASPANI  SERENELLA</v>
          </cell>
          <cell r="D1493" t="str">
            <v>03747050130 CSPSNL63S44I441J</v>
          </cell>
          <cell r="E1493" t="str">
            <v>VIA VITTORIO VENETO,  171 ANGOLO VIA PIAVE</v>
          </cell>
          <cell r="F1493">
            <v>19125</v>
          </cell>
          <cell r="G1493" t="str">
            <v>LA SPEZIA</v>
          </cell>
          <cell r="H1493" t="str">
            <v>SP</v>
          </cell>
          <cell r="I1493" t="str">
            <v>ITALIA</v>
          </cell>
          <cell r="J1493" t="str">
            <v>0187-1472415</v>
          </cell>
        </row>
        <row r="1494">
          <cell r="B1494">
            <v>8631</v>
          </cell>
          <cell r="C1494" t="str">
            <v>L'ANGOLO DEL CAFFE' DI MANZOTTI GABRIELE</v>
          </cell>
          <cell r="E1494" t="str">
            <v>VIA SAN GIOVANNI MARCORA,31</v>
          </cell>
          <cell r="F1494">
            <v>2001</v>
          </cell>
          <cell r="G1494" t="str">
            <v>INVERUNO</v>
          </cell>
          <cell r="H1494" t="str">
            <v>MI</v>
          </cell>
          <cell r="I1494" t="str">
            <v>ITALIA</v>
          </cell>
          <cell r="J1494" t="str">
            <v>328-7388192</v>
          </cell>
        </row>
        <row r="1495">
          <cell r="B1495">
            <v>4508</v>
          </cell>
          <cell r="C1495" t="str">
            <v>LANZA COSIMO  ANTONIO</v>
          </cell>
          <cell r="D1495" t="str">
            <v>01557260054 LNZCMN77A26G273 K</v>
          </cell>
          <cell r="E1495" t="str">
            <v>VIA XX SETTEMBRE, 43</v>
          </cell>
          <cell r="F1495">
            <v>14100</v>
          </cell>
          <cell r="G1495" t="str">
            <v>CASTELLO DI  ANNONE</v>
          </cell>
          <cell r="H1495" t="str">
            <v>AT</v>
          </cell>
          <cell r="I1495" t="str">
            <v>ITALIA</v>
          </cell>
        </row>
        <row r="1496">
          <cell r="B1496">
            <v>4938</v>
          </cell>
          <cell r="C1496" t="str">
            <v>LAPENTA SALVATORE</v>
          </cell>
          <cell r="D1496" t="str">
            <v>11561380012 LPNSVT87B27G942L</v>
          </cell>
          <cell r="E1496" t="str">
            <v>VIA FELIZZANO, 7</v>
          </cell>
          <cell r="F1496">
            <v>10127</v>
          </cell>
          <cell r="G1496" t="str">
            <v>TORINO</v>
          </cell>
          <cell r="H1496" t="str">
            <v>TO</v>
          </cell>
          <cell r="I1496" t="str">
            <v>ITALIA</v>
          </cell>
          <cell r="J1496" t="str">
            <v>340-3356303</v>
          </cell>
        </row>
        <row r="1497">
          <cell r="B1497">
            <v>2815</v>
          </cell>
          <cell r="C1497" t="str">
            <v>LAR SISTEMI SRL</v>
          </cell>
          <cell r="D1497" t="str">
            <v>01914910987 01914910987</v>
          </cell>
          <cell r="E1497" t="str">
            <v>VIA INDUSTRIALE 14/16</v>
          </cell>
          <cell r="F1497">
            <v>25082</v>
          </cell>
          <cell r="G1497" t="str">
            <v>BOTTICINO SERA</v>
          </cell>
          <cell r="H1497" t="str">
            <v>BS</v>
          </cell>
          <cell r="I1497" t="str">
            <v>ITALIA</v>
          </cell>
          <cell r="J1497" t="str">
            <v>030-2190663</v>
          </cell>
        </row>
        <row r="1498">
          <cell r="B1498">
            <v>3801</v>
          </cell>
          <cell r="C1498" t="str">
            <v>L'ARCOBALENO S.A.S. DI PONSO MARIA GIUSEPPINA &amp; C.</v>
          </cell>
          <cell r="D1498" t="str">
            <v>02971630047 02971630047</v>
          </cell>
          <cell r="E1498" t="str">
            <v>VIA PROVINCIALE  SALUZZO 2</v>
          </cell>
          <cell r="F1498">
            <v>12039</v>
          </cell>
          <cell r="G1498" t="str">
            <v>VERZUOLO</v>
          </cell>
          <cell r="H1498" t="str">
            <v>CN</v>
          </cell>
          <cell r="I1498" t="str">
            <v>ITALIA</v>
          </cell>
          <cell r="J1498" t="str">
            <v>0175-88511</v>
          </cell>
        </row>
        <row r="1499">
          <cell r="B1499">
            <v>1300</v>
          </cell>
          <cell r="C1499" t="str">
            <v>LARIO CAFFE' S.N.C.</v>
          </cell>
          <cell r="D1499" t="str">
            <v>02313620136 02313620136</v>
          </cell>
          <cell r="E1499" t="str">
            <v>VIA RISORGIMENTO, 27</v>
          </cell>
          <cell r="F1499">
            <v>22079</v>
          </cell>
          <cell r="G1499" t="str">
            <v>VILLA GUARDIA - Fraz. Civello</v>
          </cell>
          <cell r="H1499" t="str">
            <v>CO</v>
          </cell>
          <cell r="I1499" t="str">
            <v>ITALIA</v>
          </cell>
          <cell r="J1499" t="str">
            <v xml:space="preserve">031-483023 </v>
          </cell>
        </row>
        <row r="1500">
          <cell r="B1500">
            <v>4993</v>
          </cell>
          <cell r="C1500" t="str">
            <v>LAROMANTICO DI  GIUSEPPE LO  CARMINE</v>
          </cell>
          <cell r="D1500" t="str">
            <v>09794920968 LCRGPP75S14I441Z</v>
          </cell>
          <cell r="E1500" t="str">
            <v>VIA GIACOMO  MATTEOTTI, 64</v>
          </cell>
          <cell r="F1500">
            <v>20845</v>
          </cell>
          <cell r="G1500" t="str">
            <v>SOVICO</v>
          </cell>
          <cell r="H1500" t="str">
            <v>MB</v>
          </cell>
          <cell r="I1500" t="str">
            <v>ITALIA</v>
          </cell>
          <cell r="J1500" t="str">
            <v>393-6925598</v>
          </cell>
        </row>
        <row r="1501">
          <cell r="B1501">
            <v>7367</v>
          </cell>
          <cell r="C1501" t="str">
            <v>L'ARTE DEL MARMO E DEL GRANITO</v>
          </cell>
          <cell r="D1501" t="str">
            <v>01272480227</v>
          </cell>
          <cell r="E1501" t="str">
            <v>VIA SAN MICHELE 1</v>
          </cell>
          <cell r="F1501">
            <v>38012</v>
          </cell>
          <cell r="G1501" t="str">
            <v>PREDAIA FRAZ.  PRIO'</v>
          </cell>
          <cell r="H1501" t="str">
            <v>TN</v>
          </cell>
          <cell r="I1501" t="str">
            <v>ITALIA</v>
          </cell>
          <cell r="J1501" t="str">
            <v>349-6003080</v>
          </cell>
        </row>
        <row r="1502">
          <cell r="B1502">
            <v>6673</v>
          </cell>
          <cell r="C1502" t="str">
            <v>L'ATELIER DELLE  CIALDE DI DE  MARTINO NICOLETTA</v>
          </cell>
          <cell r="D1502" t="str">
            <v>11855000011 DMRMNC77T50L219 N</v>
          </cell>
          <cell r="E1502" t="str">
            <v>VIA COTTOLENGO, 70</v>
          </cell>
          <cell r="F1502">
            <v>10048</v>
          </cell>
          <cell r="G1502" t="str">
            <v>VINOVO</v>
          </cell>
          <cell r="H1502" t="str">
            <v>TO</v>
          </cell>
          <cell r="I1502" t="str">
            <v>ITALIA</v>
          </cell>
          <cell r="J1502" t="str">
            <v>327-1464265</v>
          </cell>
        </row>
        <row r="1503">
          <cell r="B1503">
            <v>8892</v>
          </cell>
          <cell r="C1503" t="str">
            <v>L'ATTIMO DEL CAFFE' DI GIAMBATTISTA D'AURIA</v>
          </cell>
          <cell r="E1503" t="str">
            <v>VIA CANTONALE, 15/A</v>
          </cell>
          <cell r="F1503">
            <v>6574</v>
          </cell>
          <cell r="G1503" t="str">
            <v>VIRA GAMBAROLO</v>
          </cell>
          <cell r="I1503" t="str">
            <v>SVIZZERA</v>
          </cell>
          <cell r="J1503" t="str">
            <v>342-1776573</v>
          </cell>
        </row>
        <row r="1504">
          <cell r="B1504">
            <v>2990</v>
          </cell>
          <cell r="C1504" t="str">
            <v>L'AUTOSERVICE S.R. L.</v>
          </cell>
          <cell r="D1504" t="str">
            <v>09637930018 09637930018</v>
          </cell>
          <cell r="E1504" t="str">
            <v>VIA VALPELLICE, 120</v>
          </cell>
          <cell r="F1504">
            <v>10060</v>
          </cell>
          <cell r="G1504" t="str">
            <v>S. SECONDO DI  PINEROLO</v>
          </cell>
          <cell r="H1504" t="str">
            <v>TO</v>
          </cell>
          <cell r="I1504" t="str">
            <v>ITALIA</v>
          </cell>
          <cell r="J1504" t="str">
            <v>0121-500533</v>
          </cell>
        </row>
        <row r="1505">
          <cell r="B1505">
            <v>4086</v>
          </cell>
          <cell r="C1505" t="str">
            <v>LAVANDERIA A  GETTONI S.N.C.</v>
          </cell>
          <cell r="D1505" t="str">
            <v>07001780969 07001780969</v>
          </cell>
          <cell r="E1505" t="str">
            <v>VIA MARIO RIVA, 3/B</v>
          </cell>
          <cell r="F1505">
            <v>20823</v>
          </cell>
          <cell r="G1505" t="str">
            <v>LENTATE  SUL  SEVESO</v>
          </cell>
          <cell r="H1505" t="str">
            <v>MB</v>
          </cell>
          <cell r="I1505" t="str">
            <v>ITALIA</v>
          </cell>
          <cell r="J1505" t="str">
            <v>340-6071237</v>
          </cell>
        </row>
        <row r="1506">
          <cell r="B1506">
            <v>9892</v>
          </cell>
          <cell r="C1506" t="str">
            <v>LAVANDERIA SARTORIA DI AHMED MOHAMED</v>
          </cell>
          <cell r="E1506" t="str">
            <v>VIA CIROLI, 5</v>
          </cell>
          <cell r="F1506">
            <v>21100</v>
          </cell>
          <cell r="G1506" t="str">
            <v>VARESE</v>
          </cell>
          <cell r="H1506" t="str">
            <v>VA</v>
          </cell>
          <cell r="I1506" t="str">
            <v>ITALIA</v>
          </cell>
        </row>
        <row r="1507">
          <cell r="B1507">
            <v>4262</v>
          </cell>
          <cell r="C1507" t="str">
            <v>LAVATOIO  MODERNO DI BUFFA  NICOLA</v>
          </cell>
          <cell r="D1507" t="str">
            <v>00004480968 BFFNLF60L12C707X</v>
          </cell>
          <cell r="E1507" t="str">
            <v>VIA S.MARTINO, 20</v>
          </cell>
          <cell r="F1507">
            <v>20092</v>
          </cell>
          <cell r="G1507" t="str">
            <v>CINISELLO  BALSAMO</v>
          </cell>
          <cell r="H1507" t="str">
            <v>MI</v>
          </cell>
          <cell r="I1507" t="str">
            <v>ITALIA</v>
          </cell>
          <cell r="J1507" t="str">
            <v>348-0490722</v>
          </cell>
        </row>
        <row r="1508">
          <cell r="B1508">
            <v>2486</v>
          </cell>
          <cell r="C1508" t="str">
            <v>LAVENOX S.R.L.</v>
          </cell>
          <cell r="D1508" t="str">
            <v>04101150151 04101150151</v>
          </cell>
          <cell r="E1508" t="str">
            <v>VIA ALLA CHIESA, 17/F -  39</v>
          </cell>
          <cell r="F1508">
            <v>20030</v>
          </cell>
          <cell r="G1508" t="str">
            <v>SENAGO</v>
          </cell>
          <cell r="H1508" t="str">
            <v>MI</v>
          </cell>
          <cell r="I1508" t="str">
            <v>ITALIA</v>
          </cell>
          <cell r="J1508" t="str">
            <v>02-9987201</v>
          </cell>
        </row>
        <row r="1509">
          <cell r="B1509">
            <v>6901</v>
          </cell>
          <cell r="C1509" t="str">
            <v>LC GROUP ITALIA S. R.L.</v>
          </cell>
          <cell r="D1509" t="str">
            <v>02641000993 02641000993</v>
          </cell>
          <cell r="E1509" t="str">
            <v>VIA L. MONTALDO, 43 A</v>
          </cell>
          <cell r="F1509">
            <v>16137</v>
          </cell>
          <cell r="G1509" t="str">
            <v>GENOVA</v>
          </cell>
          <cell r="H1509" t="str">
            <v>GE</v>
          </cell>
          <cell r="I1509" t="str">
            <v>ITALIA</v>
          </cell>
          <cell r="J1509" t="str">
            <v>010-3754232</v>
          </cell>
        </row>
        <row r="1510">
          <cell r="B1510">
            <v>4677</v>
          </cell>
          <cell r="C1510" t="str">
            <v>LE BONTA' S.A.S. DI  GRECO GIUSEPPE &amp;  C.</v>
          </cell>
          <cell r="D1510" t="str">
            <v>07643650018 07643650018</v>
          </cell>
          <cell r="E1510" t="str">
            <v>VIA TRIESTE, 29</v>
          </cell>
          <cell r="F1510">
            <v>10093</v>
          </cell>
          <cell r="G1510" t="str">
            <v>COLLEGNO</v>
          </cell>
          <cell r="H1510" t="str">
            <v>TO</v>
          </cell>
          <cell r="I1510" t="str">
            <v>ITALIA</v>
          </cell>
          <cell r="J1510" t="str">
            <v>338-5303907</v>
          </cell>
        </row>
        <row r="1511">
          <cell r="B1511">
            <v>6851</v>
          </cell>
          <cell r="C1511" t="str">
            <v>LE CAPSULE DI GIAN</v>
          </cell>
          <cell r="D1511" t="str">
            <v>10576360969</v>
          </cell>
          <cell r="E1511" t="str">
            <v>VIA CARAVAGGIO, 14</v>
          </cell>
          <cell r="F1511">
            <v>20060</v>
          </cell>
          <cell r="G1511" t="str">
            <v>MEDIGLIA</v>
          </cell>
          <cell r="H1511" t="str">
            <v>MI</v>
          </cell>
          <cell r="I1511" t="str">
            <v>ITALIA</v>
          </cell>
          <cell r="J1511" t="str">
            <v>320-1768672</v>
          </cell>
        </row>
        <row r="1512">
          <cell r="B1512">
            <v>7697</v>
          </cell>
          <cell r="C1512" t="str">
            <v>LE DELIZIE DI LONGO ROBERTA</v>
          </cell>
          <cell r="E1512" t="str">
            <v>VIA COLODER, 2</v>
          </cell>
          <cell r="F1512">
            <v>21030</v>
          </cell>
          <cell r="G1512" t="str">
            <v>CUVEGLIO</v>
          </cell>
          <cell r="H1512" t="str">
            <v>VA</v>
          </cell>
          <cell r="I1512" t="str">
            <v>ITALIA</v>
          </cell>
          <cell r="J1512" t="str">
            <v>333-8398441</v>
          </cell>
        </row>
        <row r="1513">
          <cell r="B1513">
            <v>7856</v>
          </cell>
          <cell r="C1513" t="str">
            <v>LE TUE CIALDE DI MARTONE CATERINA</v>
          </cell>
          <cell r="E1513" t="str">
            <v>VIA DE GASPERI, 25</v>
          </cell>
          <cell r="F1513">
            <v>25064</v>
          </cell>
          <cell r="G1513" t="str">
            <v>GUSSAGO</v>
          </cell>
          <cell r="H1513" t="str">
            <v>MI</v>
          </cell>
          <cell r="I1513" t="str">
            <v>ITALIA</v>
          </cell>
          <cell r="J1513" t="str">
            <v>339-8709826</v>
          </cell>
        </row>
        <row r="1514">
          <cell r="B1514">
            <v>9614</v>
          </cell>
          <cell r="C1514" t="str">
            <v>LE.MA COMMERCE DI MASSIMO L'EPISCOPO</v>
          </cell>
          <cell r="E1514" t="str">
            <v>VIA LAMARMORA,3</v>
          </cell>
          <cell r="F1514">
            <v>20020</v>
          </cell>
          <cell r="G1514" t="str">
            <v>MAGNAGO</v>
          </cell>
          <cell r="H1514" t="str">
            <v>MI</v>
          </cell>
          <cell r="I1514" t="str">
            <v>ITALIA</v>
          </cell>
          <cell r="J1514" t="str">
            <v>338-4087351</v>
          </cell>
        </row>
        <row r="1515">
          <cell r="B1515">
            <v>5990</v>
          </cell>
          <cell r="C1515" t="str">
            <v>LEASINT S.P.A.</v>
          </cell>
          <cell r="D1515" t="str">
            <v>01682080153 01682080153</v>
          </cell>
          <cell r="E1515" t="str">
            <v>VIA MONTEBELLO, 18</v>
          </cell>
          <cell r="F1515">
            <v>20121</v>
          </cell>
          <cell r="G1515" t="str">
            <v>MILANO</v>
          </cell>
          <cell r="H1515" t="str">
            <v>MI</v>
          </cell>
          <cell r="I1515" t="str">
            <v>ITALIA</v>
          </cell>
          <cell r="J1515" t="str">
            <v>02-87968711</v>
          </cell>
        </row>
        <row r="1516">
          <cell r="B1516">
            <v>7496</v>
          </cell>
          <cell r="C1516" t="str">
            <v>LEONE VALERIA</v>
          </cell>
          <cell r="D1516" t="str">
            <v>LNEGVL90T43A662V</v>
          </cell>
          <cell r="E1516" t="str">
            <v>CORSO VITTORIO  EMANUELE 41</v>
          </cell>
          <cell r="F1516">
            <v>70010</v>
          </cell>
          <cell r="G1516" t="str">
            <v>CASAMASSIMA</v>
          </cell>
          <cell r="H1516" t="str">
            <v>BA</v>
          </cell>
          <cell r="I1516" t="str">
            <v>ITALIA</v>
          </cell>
          <cell r="J1516" t="str">
            <v>348-5787060</v>
          </cell>
        </row>
        <row r="1517">
          <cell r="B1517">
            <v>4359</v>
          </cell>
          <cell r="C1517" t="str">
            <v>LEONETTI ANDREA</v>
          </cell>
          <cell r="D1517" t="str">
            <v>10288120016 LNTNDR78A14C665 K</v>
          </cell>
          <cell r="E1517" t="str">
            <v>VIA PRIMO LEVI, 3/B</v>
          </cell>
          <cell r="F1517">
            <v>10036</v>
          </cell>
          <cell r="G1517" t="str">
            <v>SETTIMO  TORINESE</v>
          </cell>
          <cell r="H1517" t="str">
            <v>TO</v>
          </cell>
          <cell r="I1517" t="str">
            <v>ITALIA</v>
          </cell>
          <cell r="J1517" t="str">
            <v>349-5996770</v>
          </cell>
        </row>
        <row r="1518">
          <cell r="B1518">
            <v>6552</v>
          </cell>
          <cell r="C1518" t="str">
            <v>LEONTE MASSIMO</v>
          </cell>
          <cell r="D1518" t="str">
            <v>07338620011 LNTMSM70D11L219 A</v>
          </cell>
          <cell r="E1518" t="str">
            <v>CORSO COSENZA, 54</v>
          </cell>
          <cell r="F1518">
            <v>10137</v>
          </cell>
          <cell r="G1518" t="str">
            <v>TORINO</v>
          </cell>
          <cell r="H1518" t="str">
            <v>TO</v>
          </cell>
          <cell r="I1518" t="str">
            <v>ITALIA</v>
          </cell>
          <cell r="J1518" t="str">
            <v>011-19784898</v>
          </cell>
        </row>
        <row r="1519">
          <cell r="B1519">
            <v>6930</v>
          </cell>
          <cell r="C1519" t="str">
            <v>LEPORINI S.A.S. DI  VIOLA CARMEN E C.</v>
          </cell>
          <cell r="D1519" t="str">
            <v>03341130163 03341130163</v>
          </cell>
          <cell r="E1519" t="str">
            <v>VIA MAZZINI, 9</v>
          </cell>
          <cell r="F1519">
            <v>24017</v>
          </cell>
          <cell r="G1519" t="str">
            <v>SERINA</v>
          </cell>
          <cell r="H1519" t="str">
            <v>BG</v>
          </cell>
          <cell r="I1519" t="str">
            <v>ITALIA</v>
          </cell>
          <cell r="J1519" t="str">
            <v>335-7775515</v>
          </cell>
        </row>
        <row r="1520">
          <cell r="B1520">
            <v>6678</v>
          </cell>
          <cell r="C1520" t="str">
            <v>LERI COFFEE DI  GRAZIELLA PARISI &amp; C. S.N.C.</v>
          </cell>
          <cell r="D1520" t="str">
            <v>03772350041 03772350041</v>
          </cell>
          <cell r="E1520" t="str">
            <v>VIA VITTORIO EMANUELE,  19</v>
          </cell>
          <cell r="F1520">
            <v>12062</v>
          </cell>
          <cell r="G1520" t="str">
            <v>CHERASCO</v>
          </cell>
          <cell r="H1520" t="str">
            <v>CN</v>
          </cell>
          <cell r="I1520" t="str">
            <v>ITALIA</v>
          </cell>
          <cell r="J1520" t="str">
            <v>340-7395119</v>
          </cell>
        </row>
        <row r="1521">
          <cell r="B1521">
            <v>7044</v>
          </cell>
          <cell r="C1521" t="str">
            <v>L'ESPRESSO IN  CAPSULE DI  CAPELLANO SILVIA</v>
          </cell>
          <cell r="D1521" t="str">
            <v>01804770095 CPLSLV70D46I480G</v>
          </cell>
          <cell r="E1521" t="str">
            <v>VIA GRAMSCI, 53</v>
          </cell>
          <cell r="F1521">
            <v>17047</v>
          </cell>
          <cell r="G1521" t="str">
            <v>VADO LIGURE</v>
          </cell>
          <cell r="H1521" t="str">
            <v>SV</v>
          </cell>
          <cell r="I1521" t="str">
            <v>ITALIA</v>
          </cell>
          <cell r="J1521" t="str">
            <v>347-0838161</v>
          </cell>
        </row>
        <row r="1522">
          <cell r="B1522">
            <v>7486</v>
          </cell>
          <cell r="C1522" t="str">
            <v>LESTINI FRANCESCO</v>
          </cell>
          <cell r="D1522" t="str">
            <v>LSTFNC97E03D972 N</v>
          </cell>
          <cell r="E1522" t="str">
            <v>VIA ALCIDE DE GASPERI  23</v>
          </cell>
          <cell r="F1522">
            <v>45</v>
          </cell>
          <cell r="G1522" t="str">
            <v>GENZANO DI  ROMA</v>
          </cell>
          <cell r="H1522" t="str">
            <v>RM</v>
          </cell>
          <cell r="I1522" t="str">
            <v>ITALIA</v>
          </cell>
          <cell r="J1522" t="str">
            <v>342-5683485</v>
          </cell>
        </row>
        <row r="1523">
          <cell r="B1523">
            <v>4656</v>
          </cell>
          <cell r="C1523" t="str">
            <v>LEVA ANGELO &amp; FIGLIO S.N.C.</v>
          </cell>
          <cell r="D1523" t="str">
            <v>00123170128 00123170128</v>
          </cell>
          <cell r="E1523" t="str">
            <v>VIA  COMO,  28</v>
          </cell>
          <cell r="F1523">
            <v>21100</v>
          </cell>
          <cell r="G1523" t="str">
            <v>VARESE</v>
          </cell>
          <cell r="H1523" t="str">
            <v>VA</v>
          </cell>
          <cell r="I1523" t="str">
            <v>ITALIA</v>
          </cell>
          <cell r="J1523" t="str">
            <v>335-7010481</v>
          </cell>
        </row>
        <row r="1524">
          <cell r="B1524">
            <v>6561</v>
          </cell>
          <cell r="C1524" t="str">
            <v>LEVANTE BIO STORE  S.N.C.</v>
          </cell>
          <cell r="D1524" t="str">
            <v>03140880133 03140880133</v>
          </cell>
          <cell r="E1524" t="str">
            <v>VIA MILANO,179</v>
          </cell>
          <cell r="F1524">
            <v>22100</v>
          </cell>
          <cell r="G1524" t="str">
            <v>COMO</v>
          </cell>
          <cell r="H1524" t="str">
            <v>CO</v>
          </cell>
          <cell r="I1524" t="str">
            <v>ITALIA</v>
          </cell>
          <cell r="J1524" t="str">
            <v>031-4128407</v>
          </cell>
        </row>
        <row r="1525">
          <cell r="B1525">
            <v>7416</v>
          </cell>
          <cell r="C1525" t="str">
            <v>LEVRANGI STEFANO</v>
          </cell>
          <cell r="D1525" t="str">
            <v>02618810036 LVRSFN91C09G062 N</v>
          </cell>
          <cell r="E1525" t="str">
            <v>CORSO CAVOUR, 96</v>
          </cell>
          <cell r="F1525">
            <v>28040</v>
          </cell>
          <cell r="G1525" t="str">
            <v>DORMELLETTO</v>
          </cell>
          <cell r="H1525" t="str">
            <v>NO</v>
          </cell>
          <cell r="I1525" t="str">
            <v>ITALIA</v>
          </cell>
          <cell r="J1525" t="str">
            <v>346-6273929</v>
          </cell>
        </row>
        <row r="1526">
          <cell r="B1526">
            <v>6888</v>
          </cell>
          <cell r="C1526" t="str">
            <v>LI QI</v>
          </cell>
          <cell r="D1526" t="str">
            <v>01381020450 LIXQIX76E65Z210W</v>
          </cell>
          <cell r="E1526" t="str">
            <v>VIA SAN LORENZO, 59R</v>
          </cell>
          <cell r="F1526">
            <v>17100</v>
          </cell>
          <cell r="G1526" t="str">
            <v>SAVONA</v>
          </cell>
          <cell r="H1526" t="str">
            <v>SV</v>
          </cell>
          <cell r="I1526" t="str">
            <v>ITALIA</v>
          </cell>
          <cell r="J1526" t="str">
            <v>346-2450640</v>
          </cell>
        </row>
        <row r="1527">
          <cell r="B1527">
            <v>6878</v>
          </cell>
          <cell r="C1527" t="str">
            <v>LIGOTTI LUIGI</v>
          </cell>
          <cell r="E1527" t="str">
            <v>VIA DELLE SCUOLE, 8</v>
          </cell>
          <cell r="F1527">
            <v>6902</v>
          </cell>
          <cell r="G1527" t="str">
            <v>PARADISO</v>
          </cell>
          <cell r="H1527" t="str">
            <v>CH</v>
          </cell>
          <cell r="I1527" t="str">
            <v>SVIZZERA</v>
          </cell>
        </row>
        <row r="1528">
          <cell r="B1528">
            <v>7063</v>
          </cell>
          <cell r="C1528" t="str">
            <v>LIGUORI SILVANA</v>
          </cell>
          <cell r="D1528" t="str">
            <v>LGRSVN81A44Z133 Y</v>
          </cell>
          <cell r="E1528" t="str">
            <v>VIA LERA, 34</v>
          </cell>
          <cell r="F1528">
            <v>10139</v>
          </cell>
          <cell r="G1528" t="str">
            <v>TORINO</v>
          </cell>
          <cell r="H1528" t="str">
            <v>TO</v>
          </cell>
          <cell r="I1528" t="str">
            <v>ITALIA</v>
          </cell>
          <cell r="J1528" t="str">
            <v>347-5740779</v>
          </cell>
        </row>
        <row r="1529">
          <cell r="B1529">
            <v>6984</v>
          </cell>
          <cell r="C1529" t="str">
            <v>LIGURBET SRL</v>
          </cell>
          <cell r="D1529" t="str">
            <v>10299490010</v>
          </cell>
          <cell r="E1529" t="str">
            <v>VIA MONTEROSA, 178/E</v>
          </cell>
          <cell r="F1529">
            <v>10154</v>
          </cell>
          <cell r="G1529" t="str">
            <v>TORINO</v>
          </cell>
          <cell r="H1529" t="str">
            <v>TO</v>
          </cell>
          <cell r="I1529" t="str">
            <v>ITALIA</v>
          </cell>
          <cell r="J1529" t="str">
            <v>346-5434242</v>
          </cell>
        </row>
        <row r="1530">
          <cell r="B1530">
            <v>2489</v>
          </cell>
          <cell r="C1530" t="str">
            <v>LIGURE VENDING S.A.S.</v>
          </cell>
          <cell r="D1530" t="str">
            <v>03099980041 03099980041</v>
          </cell>
          <cell r="E1530" t="str">
            <v>VIA DUCCIO GALIMBERTI, 45</v>
          </cell>
          <cell r="F1530">
            <v>12051</v>
          </cell>
          <cell r="G1530" t="str">
            <v>ALBA</v>
          </cell>
          <cell r="H1530" t="str">
            <v>CN</v>
          </cell>
          <cell r="I1530" t="str">
            <v>ITALIA</v>
          </cell>
          <cell r="J1530" t="str">
            <v>0184-484640</v>
          </cell>
        </row>
        <row r="1531">
          <cell r="B1531">
            <v>4999</v>
          </cell>
          <cell r="C1531" t="str">
            <v>LIKECAFE' SRLS</v>
          </cell>
          <cell r="D1531" t="str">
            <v>01653240083 01653240083</v>
          </cell>
          <cell r="E1531" t="str">
            <v>VIA BOSELLI, 82</v>
          </cell>
          <cell r="F1531">
            <v>18018</v>
          </cell>
          <cell r="G1531" t="str">
            <v>TAGGIA</v>
          </cell>
          <cell r="H1531" t="str">
            <v>IM</v>
          </cell>
          <cell r="I1531" t="str">
            <v>ITALIA</v>
          </cell>
          <cell r="J1531" t="str">
            <v xml:space="preserve">339-4876899 </v>
          </cell>
        </row>
        <row r="1532">
          <cell r="B1532">
            <v>2746</v>
          </cell>
          <cell r="C1532" t="str">
            <v>LINEA CASA S.N.C.</v>
          </cell>
          <cell r="D1532" t="str">
            <v>03166200968 03166200968</v>
          </cell>
          <cell r="E1532" t="str">
            <v>VIA VITTORIO VENETO,  58/60</v>
          </cell>
          <cell r="F1532">
            <v>20050</v>
          </cell>
          <cell r="G1532" t="str">
            <v>MACHERIO</v>
          </cell>
          <cell r="H1532" t="str">
            <v>MI</v>
          </cell>
          <cell r="I1532" t="str">
            <v>ITALIA</v>
          </cell>
          <cell r="J1532" t="str">
            <v>338 6377864</v>
          </cell>
        </row>
        <row r="1533">
          <cell r="B1533">
            <v>5983</v>
          </cell>
          <cell r="C1533" t="str">
            <v>LINEA HAPPY BREAK  DI PERETTI CLAUDIO</v>
          </cell>
          <cell r="D1533" t="str">
            <v>02619100015 PRTCLD55P26L219P</v>
          </cell>
          <cell r="E1533" t="str">
            <v>VIA TORINO, 2</v>
          </cell>
          <cell r="F1533">
            <v>10025</v>
          </cell>
          <cell r="G1533" t="str">
            <v>PINO TORINESE</v>
          </cell>
          <cell r="H1533" t="str">
            <v>TO</v>
          </cell>
          <cell r="I1533" t="str">
            <v>ITALIA</v>
          </cell>
          <cell r="J1533" t="str">
            <v xml:space="preserve">011-840195 </v>
          </cell>
        </row>
        <row r="1534">
          <cell r="B1534">
            <v>455</v>
          </cell>
          <cell r="C1534" t="str">
            <v>LINEA SERVICE  DI RABOLINI G.</v>
          </cell>
          <cell r="D1534" t="str">
            <v>02746610126 RBLGNN51L10B300 D</v>
          </cell>
          <cell r="E1534" t="str">
            <v>VIA PALERMO, 24</v>
          </cell>
          <cell r="F1534">
            <v>21052</v>
          </cell>
          <cell r="G1534" t="str">
            <v>BUSTO ARSIZIO</v>
          </cell>
          <cell r="H1534" t="str">
            <v>VA</v>
          </cell>
          <cell r="I1534" t="str">
            <v>ITALIA</v>
          </cell>
          <cell r="J1534" t="str">
            <v>0331-635092</v>
          </cell>
        </row>
        <row r="1535">
          <cell r="B1535">
            <v>7520</v>
          </cell>
          <cell r="C1535" t="str">
            <v>LINEA SPORT SRLS</v>
          </cell>
          <cell r="D1535" t="str">
            <v>12100080014 12100080014</v>
          </cell>
          <cell r="E1535" t="str">
            <v>VIA COAZZE, 237</v>
          </cell>
          <cell r="F1535">
            <v>10094</v>
          </cell>
          <cell r="G1535" t="str">
            <v>GIAVENO</v>
          </cell>
          <cell r="H1535" t="str">
            <v>TO</v>
          </cell>
          <cell r="I1535" t="str">
            <v>ITALIA</v>
          </cell>
          <cell r="J1535" t="str">
            <v>348-8929156</v>
          </cell>
        </row>
        <row r="1536">
          <cell r="B1536">
            <v>7506</v>
          </cell>
          <cell r="C1536" t="str">
            <v>LINZALONE PAOLA</v>
          </cell>
          <cell r="D1536" t="str">
            <v>LNZPLA60L52H355Q</v>
          </cell>
          <cell r="E1536" t="str">
            <v>VIA ROMA, 45</v>
          </cell>
          <cell r="F1536">
            <v>10093</v>
          </cell>
          <cell r="G1536" t="str">
            <v>COLLEGNO</v>
          </cell>
          <cell r="H1536" t="str">
            <v>TO</v>
          </cell>
          <cell r="I1536" t="str">
            <v>ITALIA</v>
          </cell>
          <cell r="J1536" t="str">
            <v>335-270262</v>
          </cell>
        </row>
        <row r="1537">
          <cell r="B1537">
            <v>3715</v>
          </cell>
          <cell r="C1537" t="str">
            <v>LIPPI MARCO</v>
          </cell>
          <cell r="D1537" t="str">
            <v>09050390013 LPPMRC57B11L219 Z</v>
          </cell>
          <cell r="E1537" t="str">
            <v>VIA NINO TORRETTA, 4</v>
          </cell>
          <cell r="F1537">
            <v>10040</v>
          </cell>
          <cell r="G1537" t="str">
            <v>CUMIANA</v>
          </cell>
          <cell r="H1537" t="str">
            <v>TO</v>
          </cell>
          <cell r="I1537" t="str">
            <v>ITALIA</v>
          </cell>
          <cell r="J1537" t="str">
            <v>393-9367128</v>
          </cell>
        </row>
        <row r="1538">
          <cell r="B1538">
            <v>4742</v>
          </cell>
          <cell r="C1538" t="str">
            <v>LISSONI MASSIMO</v>
          </cell>
          <cell r="D1538" t="str">
            <v>LSSMSM63H01F704 G</v>
          </cell>
          <cell r="E1538" t="str">
            <v>VIA CATALANI, 12</v>
          </cell>
          <cell r="F1538">
            <v>20052</v>
          </cell>
          <cell r="G1538" t="str">
            <v>MONZA</v>
          </cell>
          <cell r="H1538" t="str">
            <v>MI</v>
          </cell>
          <cell r="I1538" t="str">
            <v>ITALIA</v>
          </cell>
          <cell r="J1538" t="str">
            <v>335-6115628</v>
          </cell>
        </row>
        <row r="1539">
          <cell r="B1539">
            <v>5269</v>
          </cell>
          <cell r="C1539" t="str">
            <v>LITA LOK DI F.  NASTASI</v>
          </cell>
          <cell r="D1539" t="str">
            <v>04474560010 NSTFNC52P15B098L</v>
          </cell>
          <cell r="E1539" t="str">
            <v>CORSO S. MARTINO, 1</v>
          </cell>
          <cell r="F1539">
            <v>10122</v>
          </cell>
          <cell r="G1539" t="str">
            <v>TORINO</v>
          </cell>
          <cell r="H1539" t="str">
            <v>TO</v>
          </cell>
          <cell r="I1539" t="str">
            <v>ITALIA</v>
          </cell>
          <cell r="J1539" t="str">
            <v>388-5621640</v>
          </cell>
        </row>
        <row r="1540">
          <cell r="B1540">
            <v>4329</v>
          </cell>
          <cell r="C1540" t="str">
            <v>LITTLE PUB S.N.C.  DI RIPULLONE G.</v>
          </cell>
          <cell r="D1540" t="str">
            <v>03974370961 03974370961</v>
          </cell>
          <cell r="E1540" t="str">
            <v>CORSO MILANO, 30</v>
          </cell>
          <cell r="F1540">
            <v>20812</v>
          </cell>
          <cell r="G1540" t="str">
            <v>LIMBIATE</v>
          </cell>
          <cell r="H1540" t="str">
            <v>MB</v>
          </cell>
          <cell r="I1540" t="str">
            <v>ITALIA</v>
          </cell>
          <cell r="J1540" t="str">
            <v>333-5270732</v>
          </cell>
        </row>
        <row r="1541">
          <cell r="B1541">
            <v>7448</v>
          </cell>
          <cell r="C1541" t="str">
            <v>LO RUSSO VITO  SIMONE</v>
          </cell>
          <cell r="D1541" t="str">
            <v>LRSVSM92B29G856 N</v>
          </cell>
          <cell r="E1541" t="str">
            <v>VIA SAN DONATO 13</v>
          </cell>
          <cell r="F1541">
            <v>24046</v>
          </cell>
          <cell r="G1541" t="str">
            <v>OSIO SOTTO</v>
          </cell>
          <cell r="H1541" t="str">
            <v>BG</v>
          </cell>
          <cell r="I1541" t="str">
            <v>ITALIA</v>
          </cell>
          <cell r="J1541" t="str">
            <v>348-5971772</v>
          </cell>
        </row>
        <row r="1542">
          <cell r="B1542">
            <v>6908</v>
          </cell>
          <cell r="C1542" t="str">
            <v>LO SCRIGNO DI  ZULIANI MIRELLA</v>
          </cell>
          <cell r="D1542" t="str">
            <v>03026930127 ZLNMLL63M43C751 W</v>
          </cell>
          <cell r="E1542" t="str">
            <v>VIA MAZZINI, 204</v>
          </cell>
          <cell r="F1542">
            <v>21027</v>
          </cell>
          <cell r="G1542" t="str">
            <v>ISPRA</v>
          </cell>
          <cell r="H1542" t="str">
            <v>VA</v>
          </cell>
          <cell r="I1542" t="str">
            <v>ITALIA</v>
          </cell>
          <cell r="J1542" t="str">
            <v>328-7647946</v>
          </cell>
        </row>
        <row r="1543">
          <cell r="B1543">
            <v>3534</v>
          </cell>
          <cell r="C1543" t="str">
            <v>LO SPUNTINO S. R.L.</v>
          </cell>
          <cell r="D1543" t="str">
            <v>06679160967 06679160967</v>
          </cell>
          <cell r="E1543" t="str">
            <v>VIA PACE, 6</v>
          </cell>
          <cell r="F1543">
            <v>20026</v>
          </cell>
          <cell r="G1543" t="str">
            <v>MEDA</v>
          </cell>
          <cell r="H1543" t="str">
            <v>MI</v>
          </cell>
          <cell r="I1543" t="str">
            <v>ITALIA</v>
          </cell>
          <cell r="J1543" t="str">
            <v>348-7113020</v>
          </cell>
        </row>
        <row r="1544">
          <cell r="B1544">
            <v>59</v>
          </cell>
          <cell r="C1544" t="str">
            <v>LO TURCO BRUNO  DISTRIBUTORE AGIP</v>
          </cell>
          <cell r="D1544" t="str">
            <v>01968970127</v>
          </cell>
          <cell r="E1544" t="str">
            <v>VIA C. NOE', 43</v>
          </cell>
          <cell r="F1544">
            <v>21013</v>
          </cell>
          <cell r="G1544" t="str">
            <v>GALLARATE</v>
          </cell>
          <cell r="H1544" t="str">
            <v>VA</v>
          </cell>
          <cell r="I1544" t="str">
            <v>ITALIA</v>
          </cell>
          <cell r="J1544" t="str">
            <v>0331-790259</v>
          </cell>
        </row>
        <row r="1545">
          <cell r="B1545">
            <v>2943</v>
          </cell>
          <cell r="C1545" t="str">
            <v>LO.DA.  DISTRIBUZIONE DI  LOGUERCIO LUCIO</v>
          </cell>
          <cell r="D1545" t="str">
            <v>09023810014 09023810014</v>
          </cell>
          <cell r="E1545" t="str">
            <v>VIA TORINO, 6</v>
          </cell>
          <cell r="F1545">
            <v>10040</v>
          </cell>
          <cell r="G1545" t="str">
            <v>DRUENTO</v>
          </cell>
          <cell r="H1545" t="str">
            <v>TO</v>
          </cell>
          <cell r="I1545" t="str">
            <v>ITALIA</v>
          </cell>
          <cell r="J1545" t="str">
            <v>011-9945704</v>
          </cell>
        </row>
        <row r="1546">
          <cell r="B1546">
            <v>4979</v>
          </cell>
          <cell r="C1546" t="str">
            <v>LOCARMINE  GIUSEPPE</v>
          </cell>
          <cell r="D1546" t="str">
            <v>06951310967</v>
          </cell>
          <cell r="E1546" t="str">
            <v>VIA GIACOMO MATTEOTTI</v>
          </cell>
          <cell r="F1546">
            <v>20845</v>
          </cell>
          <cell r="G1546" t="str">
            <v>SOVICO</v>
          </cell>
          <cell r="H1546" t="str">
            <v>MB</v>
          </cell>
          <cell r="I1546" t="str">
            <v>ITALIA</v>
          </cell>
          <cell r="J1546" t="str">
            <v>393-6925598</v>
          </cell>
        </row>
        <row r="1547">
          <cell r="B1547">
            <v>7330</v>
          </cell>
          <cell r="C1547" t="str">
            <v>LOFRANO MARY</v>
          </cell>
          <cell r="D1547" t="str">
            <v>LFRMNG81H59I422 M</v>
          </cell>
          <cell r="E1547" t="str">
            <v>VIA CAROLINA ROMANI  1/11</v>
          </cell>
          <cell r="F1547">
            <v>20091</v>
          </cell>
          <cell r="G1547" t="str">
            <v>BRESSO</v>
          </cell>
          <cell r="H1547" t="str">
            <v>MI</v>
          </cell>
          <cell r="I1547" t="str">
            <v>ITALIA</v>
          </cell>
          <cell r="J1547" t="str">
            <v>389-6287720</v>
          </cell>
        </row>
        <row r="1548">
          <cell r="B1548">
            <v>7397</v>
          </cell>
          <cell r="C1548" t="str">
            <v>LOI ANGELO</v>
          </cell>
          <cell r="D1548" t="str">
            <v>LOINGL46H14L781Y</v>
          </cell>
          <cell r="E1548" t="str">
            <v>VIA ATTILA, 65</v>
          </cell>
          <cell r="F1548">
            <v>37067</v>
          </cell>
          <cell r="G1548" t="str">
            <v>VALEGGIO SUL  MINCIO</v>
          </cell>
          <cell r="H1548" t="str">
            <v>VR</v>
          </cell>
          <cell r="I1548" t="str">
            <v>ITALIA</v>
          </cell>
          <cell r="J1548" t="str">
            <v>045-6365078</v>
          </cell>
        </row>
        <row r="1549">
          <cell r="B1549">
            <v>6529</v>
          </cell>
          <cell r="C1549" t="str">
            <v>LOMBARDO  SALVATORE</v>
          </cell>
          <cell r="D1549" t="str">
            <v>01801250026 LMBSVT66C13G273 S</v>
          </cell>
          <cell r="E1549" t="str">
            <v>VIA TRENTO, 35</v>
          </cell>
          <cell r="F1549">
            <v>13900</v>
          </cell>
          <cell r="G1549" t="str">
            <v>BIELLA</v>
          </cell>
          <cell r="H1549" t="str">
            <v>BI</v>
          </cell>
          <cell r="I1549" t="str">
            <v>ITALIA</v>
          </cell>
          <cell r="J1549" t="str">
            <v xml:space="preserve">015-0992793 </v>
          </cell>
        </row>
        <row r="1550">
          <cell r="B1550">
            <v>7247</v>
          </cell>
          <cell r="C1550" t="str">
            <v>LONGO MARIA  ANTONIA</v>
          </cell>
          <cell r="D1550" t="str">
            <v>LNGMNT66T69F101 U</v>
          </cell>
          <cell r="E1550" t="str">
            <v>VIA CADUTI DI  NASSIRIYA, 6</v>
          </cell>
          <cell r="F1550">
            <v>73026</v>
          </cell>
          <cell r="G1550" t="str">
            <v>MELENDUGNO</v>
          </cell>
          <cell r="H1550" t="str">
            <v>LE</v>
          </cell>
          <cell r="I1550" t="str">
            <v>ITALIA</v>
          </cell>
          <cell r="J1550" t="str">
            <v>328-1055825</v>
          </cell>
        </row>
        <row r="1551">
          <cell r="B1551">
            <v>735</v>
          </cell>
          <cell r="C1551" t="str">
            <v>LORANDI PIERO</v>
          </cell>
          <cell r="D1551" t="str">
            <v>LRNPRI39C03B300F</v>
          </cell>
          <cell r="E1551" t="str">
            <v>VIA LIPARI, 9</v>
          </cell>
          <cell r="F1551">
            <v>21052</v>
          </cell>
          <cell r="G1551" t="str">
            <v>BUSTO ARSIZIO</v>
          </cell>
          <cell r="H1551" t="str">
            <v>VA</v>
          </cell>
          <cell r="I1551" t="str">
            <v>ITALIA</v>
          </cell>
          <cell r="J1551" t="str">
            <v>0331-683239</v>
          </cell>
        </row>
        <row r="1552">
          <cell r="B1552">
            <v>6934</v>
          </cell>
          <cell r="C1552" t="str">
            <v>LOSI SARA</v>
          </cell>
          <cell r="D1552" t="str">
            <v>LSOSRA94R65D611 A</v>
          </cell>
          <cell r="E1552" t="str">
            <v>VIA 11 SETTEMBRE, 28</v>
          </cell>
          <cell r="F1552">
            <v>29010</v>
          </cell>
          <cell r="G1552" t="str">
            <v>CADEO</v>
          </cell>
          <cell r="H1552" t="str">
            <v>PC</v>
          </cell>
          <cell r="I1552" t="str">
            <v>ITALIA</v>
          </cell>
          <cell r="J1552" t="str">
            <v>331-7310209</v>
          </cell>
        </row>
        <row r="1553">
          <cell r="B1553">
            <v>4965</v>
          </cell>
          <cell r="C1553" t="str">
            <v>LPD DESIGN S.R.L.</v>
          </cell>
          <cell r="D1553" t="str">
            <v>09482100964 09482100964</v>
          </cell>
          <cell r="E1553" t="str">
            <v>VIA MONZORO, 56</v>
          </cell>
          <cell r="F1553">
            <v>20010</v>
          </cell>
          <cell r="G1553" t="str">
            <v>CORNAREDO</v>
          </cell>
          <cell r="H1553" t="str">
            <v>MI</v>
          </cell>
          <cell r="I1553" t="str">
            <v>ITALIA</v>
          </cell>
          <cell r="J1553" t="str">
            <v>02-84980485</v>
          </cell>
        </row>
        <row r="1554">
          <cell r="B1554">
            <v>8304</v>
          </cell>
          <cell r="C1554" t="str">
            <v>LR MORONI CELLULOSE CONVERTING MACHINERY S.R.L.</v>
          </cell>
          <cell r="E1554" t="str">
            <v>VIA DELLE TRE CAMPANE, 27/29</v>
          </cell>
          <cell r="F1554">
            <v>20010</v>
          </cell>
          <cell r="G1554" t="str">
            <v>VANZAGO</v>
          </cell>
          <cell r="H1554" t="str">
            <v>MI</v>
          </cell>
          <cell r="I1554" t="str">
            <v>ITALIA</v>
          </cell>
          <cell r="J1554" t="str">
            <v>02-90379204</v>
          </cell>
        </row>
        <row r="1555">
          <cell r="B1555">
            <v>4897</v>
          </cell>
          <cell r="C1555" t="str">
            <v>LS SERVIZI</v>
          </cell>
          <cell r="D1555" t="str">
            <v>09780520012</v>
          </cell>
          <cell r="E1555" t="str">
            <v>VIA LANCIA, 31 INT. 20</v>
          </cell>
          <cell r="F1555">
            <v>10141</v>
          </cell>
          <cell r="G1555" t="str">
            <v>TORINO</v>
          </cell>
          <cell r="H1555" t="str">
            <v>TO</v>
          </cell>
          <cell r="I1555" t="str">
            <v>ITALIA</v>
          </cell>
          <cell r="J1555" t="str">
            <v>370-1352730</v>
          </cell>
        </row>
        <row r="1556">
          <cell r="B1556">
            <v>6749</v>
          </cell>
          <cell r="C1556" t="str">
            <v>LUCA  CASTAGNINO D.I</v>
          </cell>
          <cell r="D1556" t="str">
            <v>02519530998 CSTLCU92P30D969 Y</v>
          </cell>
          <cell r="E1556" t="str">
            <v>VIA CROCETTA, 1B</v>
          </cell>
          <cell r="F1556">
            <v>16033</v>
          </cell>
          <cell r="G1556" t="str">
            <v>LAVAGNA</v>
          </cell>
          <cell r="H1556" t="str">
            <v>GE</v>
          </cell>
          <cell r="I1556" t="str">
            <v>ITALIA</v>
          </cell>
          <cell r="J1556" t="str">
            <v>010-3754232</v>
          </cell>
        </row>
        <row r="1557">
          <cell r="B1557">
            <v>4200</v>
          </cell>
          <cell r="C1557" t="str">
            <v>LUCA MARIO  GILARDI</v>
          </cell>
          <cell r="D1557" t="str">
            <v>01142920071 GLRLMR88P07L219J</v>
          </cell>
          <cell r="E1557" t="str">
            <v>STRADA S.FELICE, 56</v>
          </cell>
          <cell r="F1557">
            <v>10025</v>
          </cell>
          <cell r="G1557" t="str">
            <v>PINO TORINESE</v>
          </cell>
          <cell r="H1557" t="str">
            <v>TO</v>
          </cell>
          <cell r="I1557" t="str">
            <v>ITALIA</v>
          </cell>
          <cell r="J1557" t="str">
            <v>334-2892208</v>
          </cell>
        </row>
        <row r="1558">
          <cell r="B1558">
            <v>5440</v>
          </cell>
          <cell r="C1558" t="str">
            <v>LUCARELLI S.R.L.</v>
          </cell>
          <cell r="D1558" t="str">
            <v>01209850096 01209850096</v>
          </cell>
          <cell r="E1558" t="str">
            <v>VIA MISTRANGELO, 3A/5</v>
          </cell>
          <cell r="F1558">
            <v>17100</v>
          </cell>
          <cell r="G1558" t="str">
            <v>SAVONA</v>
          </cell>
          <cell r="H1558" t="str">
            <v>SV</v>
          </cell>
          <cell r="I1558" t="str">
            <v>ITALIA</v>
          </cell>
          <cell r="J1558" t="str">
            <v>019-854902</v>
          </cell>
        </row>
        <row r="1559">
          <cell r="B1559">
            <v>4891</v>
          </cell>
          <cell r="C1559" t="str">
            <v>LUCAS BAR DI  CHEN XINMAN</v>
          </cell>
          <cell r="D1559" t="str">
            <v>09284490969</v>
          </cell>
          <cell r="E1559" t="str">
            <v>VIA DELLA TORRE, 34</v>
          </cell>
          <cell r="F1559">
            <v>20127</v>
          </cell>
          <cell r="G1559" t="str">
            <v>MILANO</v>
          </cell>
          <cell r="H1559" t="str">
            <v>MI</v>
          </cell>
          <cell r="I1559" t="str">
            <v>ITALIA</v>
          </cell>
          <cell r="J1559" t="str">
            <v>338-7720518</v>
          </cell>
        </row>
        <row r="1560">
          <cell r="B1560">
            <v>7030</v>
          </cell>
          <cell r="C1560" t="str">
            <v>LUCHERINI LISA</v>
          </cell>
          <cell r="D1560" t="str">
            <v>LCHLSI75T44H901B</v>
          </cell>
          <cell r="E1560" t="str">
            <v>VIA FONTE MOSCHETTA,  54</v>
          </cell>
          <cell r="F1560">
            <v>52025</v>
          </cell>
          <cell r="G1560" t="str">
            <v>MONTEVARCHI</v>
          </cell>
          <cell r="H1560" t="str">
            <v>AR</v>
          </cell>
          <cell r="I1560" t="str">
            <v>ITALIA</v>
          </cell>
          <cell r="J1560" t="str">
            <v>339-8970788</v>
          </cell>
        </row>
        <row r="1561">
          <cell r="B1561">
            <v>7531</v>
          </cell>
          <cell r="C1561" t="str">
            <v>LUCIC GROUP S.A.S. DI SASA LUCIC &amp;  CO.</v>
          </cell>
          <cell r="D1561" t="str">
            <v>03697300360</v>
          </cell>
          <cell r="E1561" t="str">
            <v>STRADA SAN FAUSTINO,  151</v>
          </cell>
          <cell r="F1561">
            <v>41124</v>
          </cell>
          <cell r="G1561" t="str">
            <v>MODENA</v>
          </cell>
          <cell r="H1561" t="str">
            <v>MO</v>
          </cell>
          <cell r="I1561" t="str">
            <v>ITALIA</v>
          </cell>
          <cell r="J1561" t="str">
            <v>333-6459124</v>
          </cell>
        </row>
        <row r="1562">
          <cell r="B1562">
            <v>7022</v>
          </cell>
          <cell r="C1562" t="str">
            <v>LUIGI GIGANTE</v>
          </cell>
          <cell r="D1562" t="str">
            <v>GGNLGU81B10L049 Q</v>
          </cell>
          <cell r="E1562" t="str">
            <v>VIA FRANCESCO  PETRARCA 116</v>
          </cell>
          <cell r="F1562">
            <v>76121</v>
          </cell>
          <cell r="G1562" t="str">
            <v>BARLETTA (BT)</v>
          </cell>
          <cell r="H1562" t="str">
            <v>BT</v>
          </cell>
          <cell r="I1562" t="str">
            <v>ITALIA</v>
          </cell>
          <cell r="J1562" t="str">
            <v>328-0605189</v>
          </cell>
        </row>
        <row r="1563">
          <cell r="B1563">
            <v>1661</v>
          </cell>
          <cell r="C1563" t="str">
            <v>LUIGI LAVAZZA S.P. A.</v>
          </cell>
          <cell r="D1563" t="str">
            <v>00470550013 00470550013</v>
          </cell>
          <cell r="E1563" t="str">
            <v>VIA CARLO PANSERI, 85</v>
          </cell>
          <cell r="F1563">
            <v>28100</v>
          </cell>
          <cell r="G1563" t="str">
            <v>NOVARA</v>
          </cell>
          <cell r="H1563" t="str">
            <v>NO</v>
          </cell>
          <cell r="I1563" t="str">
            <v>ITALIA</v>
          </cell>
          <cell r="J1563" t="str">
            <v>02-38222930</v>
          </cell>
        </row>
        <row r="1564">
          <cell r="B1564">
            <v>4587</v>
          </cell>
          <cell r="C1564" t="str">
            <v>LUIGI PASTORINO &amp;  C. S.N.C.</v>
          </cell>
          <cell r="D1564" t="str">
            <v>02716720103</v>
          </cell>
          <cell r="E1564" t="str">
            <v>VIA ISOLA GIUGNO, 1</v>
          </cell>
          <cell r="F1564">
            <v>16013</v>
          </cell>
          <cell r="G1564" t="str">
            <v>CAMPOLIGURE</v>
          </cell>
          <cell r="H1564" t="str">
            <v>GE</v>
          </cell>
          <cell r="I1564" t="str">
            <v>ITALIA</v>
          </cell>
          <cell r="J1564" t="str">
            <v xml:space="preserve">010-920183 </v>
          </cell>
        </row>
        <row r="1565">
          <cell r="B1565">
            <v>7156</v>
          </cell>
          <cell r="C1565" t="str">
            <v>LUITPRANDI MAURO</v>
          </cell>
          <cell r="D1565" t="str">
            <v>LTPMRA63A08G417 N</v>
          </cell>
          <cell r="E1565" t="str">
            <v>VIA CHOPIN, 49</v>
          </cell>
          <cell r="F1565">
            <v>42046</v>
          </cell>
          <cell r="G1565" t="str">
            <v>REGGIOLO</v>
          </cell>
          <cell r="H1565" t="str">
            <v>RE</v>
          </cell>
          <cell r="I1565" t="str">
            <v>ITALIA</v>
          </cell>
          <cell r="J1565" t="str">
            <v>345-8523119</v>
          </cell>
        </row>
        <row r="1566">
          <cell r="B1566">
            <v>6460</v>
          </cell>
          <cell r="C1566" t="str">
            <v>LUNANERA DI  ABATE PAOLO</v>
          </cell>
          <cell r="D1566" t="str">
            <v>11176030010 BTAPLA81S23L013 W</v>
          </cell>
          <cell r="E1566" t="str">
            <v>VIA ALLEGRI, 52</v>
          </cell>
          <cell r="F1566">
            <v>10093</v>
          </cell>
          <cell r="G1566" t="str">
            <v>COLLEGNO</v>
          </cell>
          <cell r="H1566" t="str">
            <v>TO</v>
          </cell>
          <cell r="I1566" t="str">
            <v>ITALIA</v>
          </cell>
          <cell r="J1566" t="str">
            <v>340-8401191</v>
          </cell>
        </row>
        <row r="1567">
          <cell r="B1567">
            <v>4510</v>
          </cell>
          <cell r="C1567" t="str">
            <v>LUPINI F.LLI S.R.L.</v>
          </cell>
          <cell r="D1567" t="str">
            <v>02639630165 02639630165</v>
          </cell>
          <cell r="E1567" t="str">
            <v>VIA P. SAVOLDINI, 28</v>
          </cell>
          <cell r="F1567">
            <v>24057</v>
          </cell>
          <cell r="G1567" t="str">
            <v>MARTINENGO</v>
          </cell>
          <cell r="H1567" t="str">
            <v>BG</v>
          </cell>
          <cell r="I1567" t="str">
            <v>ITALIA</v>
          </cell>
          <cell r="J1567" t="str">
            <v xml:space="preserve">0363-948315 </v>
          </cell>
        </row>
        <row r="1568">
          <cell r="B1568">
            <v>4389</v>
          </cell>
          <cell r="C1568" t="str">
            <v>LUPOTTO  ALESSANDRO</v>
          </cell>
          <cell r="D1568" t="str">
            <v>01096100076</v>
          </cell>
          <cell r="E1568" t="str">
            <v>VIA F. CHABOD,23</v>
          </cell>
          <cell r="F1568">
            <v>11100</v>
          </cell>
          <cell r="G1568" t="str">
            <v>AOSTA</v>
          </cell>
          <cell r="H1568" t="str">
            <v>AO</v>
          </cell>
          <cell r="I1568" t="str">
            <v>ITALIA</v>
          </cell>
          <cell r="J1568" t="str">
            <v>0165-231410</v>
          </cell>
        </row>
        <row r="1569">
          <cell r="B1569">
            <v>6942</v>
          </cell>
          <cell r="C1569" t="str">
            <v>LURGO MARCO</v>
          </cell>
          <cell r="D1569" t="str">
            <v>03859970042 LRGMRC68M24A124 R</v>
          </cell>
          <cell r="E1569" t="str">
            <v>FRAZ. SAN GIACOMO, 12</v>
          </cell>
          <cell r="F1569">
            <v>12040</v>
          </cell>
          <cell r="G1569" t="str">
            <v>MONTALDO  ROERO</v>
          </cell>
          <cell r="H1569" t="str">
            <v>CN</v>
          </cell>
          <cell r="I1569" t="str">
            <v>ITALIA</v>
          </cell>
          <cell r="J1569" t="str">
            <v>348-4592845</v>
          </cell>
        </row>
        <row r="1570">
          <cell r="B1570">
            <v>6538</v>
          </cell>
          <cell r="C1570" t="str">
            <v>LUSSIANA STEFANO</v>
          </cell>
          <cell r="D1570" t="str">
            <v>11814360019 LSSSFN75C23E020 S</v>
          </cell>
          <cell r="E1570" t="str">
            <v>VIA ROMA ,65</v>
          </cell>
          <cell r="F1570">
            <v>10094</v>
          </cell>
          <cell r="G1570" t="str">
            <v>GIAVENO</v>
          </cell>
          <cell r="H1570" t="str">
            <v>TO</v>
          </cell>
          <cell r="I1570" t="str">
            <v>ITALIA</v>
          </cell>
          <cell r="J1570" t="str">
            <v>0122-640466</v>
          </cell>
        </row>
        <row r="1571">
          <cell r="B1571">
            <v>5974</v>
          </cell>
          <cell r="C1571" t="str">
            <v>LUXNOVA DI CONTE  ANDREA</v>
          </cell>
          <cell r="D1571" t="str">
            <v>07292510018 CNTNDR74P15L219 P</v>
          </cell>
          <cell r="E1571" t="str">
            <v>VIA REISINA, 13/B</v>
          </cell>
          <cell r="F1571">
            <v>10072</v>
          </cell>
          <cell r="G1571" t="str">
            <v>CASELLE T.SE  FRAZ.  MAPPANO</v>
          </cell>
          <cell r="H1571" t="str">
            <v>TO</v>
          </cell>
          <cell r="I1571" t="str">
            <v>ITALIA</v>
          </cell>
          <cell r="J1571" t="str">
            <v>011-4701729</v>
          </cell>
        </row>
        <row r="1572">
          <cell r="B1572">
            <v>4875</v>
          </cell>
          <cell r="C1572" t="str">
            <v>LUXURY LINE S.R.L.</v>
          </cell>
          <cell r="D1572" t="str">
            <v>1016600018348</v>
          </cell>
          <cell r="E1572" t="str">
            <v>STR. TRAIAN, 5- AP. 1</v>
          </cell>
          <cell r="F1572">
            <v>2032</v>
          </cell>
          <cell r="G1572" t="str">
            <v>CHISINAU -  REPUBLICA  MOLDOVA -</v>
          </cell>
          <cell r="I1572" t="str">
            <v>MOLDAVIA</v>
          </cell>
          <cell r="J1572" t="str">
            <v>00373-78013554</v>
          </cell>
        </row>
        <row r="1573">
          <cell r="B1573">
            <v>2431</v>
          </cell>
          <cell r="C1573" t="str">
            <v>M &amp; C  RISTORAZIONE S.A. S. DI GRULLINI M.</v>
          </cell>
          <cell r="D1573" t="str">
            <v>02697700132 02697700132</v>
          </cell>
          <cell r="E1573" t="str">
            <v>VIA FRATELLI ROSSELLI,  12</v>
          </cell>
          <cell r="F1573">
            <v>22100</v>
          </cell>
          <cell r="G1573" t="str">
            <v>COMO</v>
          </cell>
          <cell r="H1573" t="str">
            <v>CO</v>
          </cell>
          <cell r="I1573" t="str">
            <v>ITALIA</v>
          </cell>
          <cell r="J1573" t="str">
            <v>340-2483821</v>
          </cell>
        </row>
        <row r="1574">
          <cell r="B1574">
            <v>3107</v>
          </cell>
          <cell r="C1574" t="str">
            <v>M &amp; G S.N.C. DI  SIMEONE GAETANO  E C.</v>
          </cell>
          <cell r="D1574" t="str">
            <v>06032020965 06032020965</v>
          </cell>
          <cell r="E1574" t="str">
            <v>VIA COMO, 51</v>
          </cell>
          <cell r="F1574">
            <v>20031</v>
          </cell>
          <cell r="G1574" t="str">
            <v>CESANO  MADERNO</v>
          </cell>
          <cell r="H1574" t="str">
            <v>MI</v>
          </cell>
          <cell r="I1574" t="str">
            <v>ITALIA</v>
          </cell>
          <cell r="J1574" t="str">
            <v>347-5904781</v>
          </cell>
        </row>
        <row r="1575">
          <cell r="B1575">
            <v>4407</v>
          </cell>
          <cell r="C1575" t="str">
            <v>M &amp; R VENDING S.R. L.</v>
          </cell>
          <cell r="D1575" t="str">
            <v>02410300061 02410300061</v>
          </cell>
          <cell r="E1575" t="str">
            <v>STRADA PROVINCIALE  PER PAVIA, 14</v>
          </cell>
          <cell r="F1575">
            <v>15122</v>
          </cell>
          <cell r="G1575" t="str">
            <v>ALESSANDRIA  FRAZ  VALMADONNA</v>
          </cell>
          <cell r="H1575" t="str">
            <v>AL</v>
          </cell>
          <cell r="I1575" t="str">
            <v>ITALIA</v>
          </cell>
          <cell r="J1575" t="str">
            <v>0131-288157</v>
          </cell>
        </row>
        <row r="1576">
          <cell r="B1576">
            <v>5490</v>
          </cell>
          <cell r="C1576" t="str">
            <v>M G SERVICE DI  GUIDO MARTINO</v>
          </cell>
          <cell r="D1576" t="str">
            <v>06387620013 06387620013</v>
          </cell>
          <cell r="E1576" t="str">
            <v>VIA CRAVERO, 43</v>
          </cell>
          <cell r="F1576">
            <v>10064</v>
          </cell>
          <cell r="G1576" t="str">
            <v>PINEROLO</v>
          </cell>
          <cell r="H1576" t="str">
            <v>TO</v>
          </cell>
          <cell r="I1576" t="str">
            <v>ITALIA</v>
          </cell>
          <cell r="J1576" t="str">
            <v>0121-78510</v>
          </cell>
        </row>
        <row r="1577">
          <cell r="B1577">
            <v>4866</v>
          </cell>
          <cell r="C1577" t="str">
            <v>M&amp;M VENDING S.R.L.</v>
          </cell>
          <cell r="D1577" t="str">
            <v>06274870960 06274870960</v>
          </cell>
          <cell r="E1577" t="str">
            <v>VIA PADRE PIO, 4/D</v>
          </cell>
          <cell r="F1577">
            <v>20090</v>
          </cell>
          <cell r="G1577" t="str">
            <v>TREZZANO SUL  NAVIGLIO</v>
          </cell>
          <cell r="H1577" t="str">
            <v>MI</v>
          </cell>
          <cell r="I1577" t="str">
            <v>ITALIA</v>
          </cell>
          <cell r="J1577" t="str">
            <v>02-84348162</v>
          </cell>
        </row>
        <row r="1578">
          <cell r="B1578">
            <v>6496</v>
          </cell>
          <cell r="C1578" t="str">
            <v>M. AHMED AL  MARZOUQI SILVER  WAVE BUILDING</v>
          </cell>
          <cell r="D1578" t="str">
            <v>06496</v>
          </cell>
          <cell r="E1578" t="str">
            <v>3F, OFFICE#302</v>
          </cell>
          <cell r="F1578">
            <v>10000</v>
          </cell>
          <cell r="G1578" t="str">
            <v>ABU DHABI  ISLAND, MINA  STREET</v>
          </cell>
          <cell r="I1578" t="str">
            <v>EMIRATI ARABI</v>
          </cell>
          <cell r="J1578"/>
        </row>
        <row r="1579">
          <cell r="B1579">
            <v>7231</v>
          </cell>
          <cell r="C1579" t="str">
            <v>M. COSTRUZIONI &amp;  APPALTI SRL</v>
          </cell>
          <cell r="D1579" t="str">
            <v>12981101004</v>
          </cell>
          <cell r="E1579" t="str">
            <v>VIA DEI SAVELLI, 112</v>
          </cell>
          <cell r="F1579">
            <v>79</v>
          </cell>
          <cell r="G1579" t="str">
            <v>ROCCA PRIORA</v>
          </cell>
          <cell r="H1579" t="str">
            <v>RM</v>
          </cell>
          <cell r="I1579" t="str">
            <v>ITALIA</v>
          </cell>
          <cell r="J1579" t="str">
            <v>06-94073036</v>
          </cell>
        </row>
        <row r="1580">
          <cell r="B1580">
            <v>9827</v>
          </cell>
          <cell r="C1580" t="str">
            <v>M.A.B. SERVICES S.R.L.S.</v>
          </cell>
          <cell r="E1580" t="str">
            <v>VIA PADOVA,17A</v>
          </cell>
          <cell r="F1580">
            <v>20811</v>
          </cell>
          <cell r="G1580" t="str">
            <v>CESANO  MADERNO</v>
          </cell>
          <cell r="H1580" t="str">
            <v>MB</v>
          </cell>
          <cell r="I1580" t="str">
            <v>ITALIA</v>
          </cell>
          <cell r="J1580" t="str">
            <v>339-3577313</v>
          </cell>
        </row>
        <row r="1581">
          <cell r="B1581">
            <v>7150</v>
          </cell>
          <cell r="C1581" t="str">
            <v>M.A.C. 2000 S.R.L.</v>
          </cell>
          <cell r="D1581" t="str">
            <v>02760690046 02760690046</v>
          </cell>
          <cell r="E1581" t="str">
            <v>VIA SAN SEBASTIANO, 87</v>
          </cell>
          <cell r="F1581">
            <v>12030</v>
          </cell>
          <cell r="G1581" t="str">
            <v>CARAMAGNA  PIEMONTE</v>
          </cell>
          <cell r="H1581" t="str">
            <v>CN</v>
          </cell>
          <cell r="I1581" t="str">
            <v>ITALIA</v>
          </cell>
          <cell r="J1581" t="str">
            <v>0172-89017</v>
          </cell>
        </row>
        <row r="1582">
          <cell r="B1582">
            <v>6918</v>
          </cell>
          <cell r="C1582" t="str">
            <v>M.A.R. SNC DI  ROVETA MATTIA &amp; C.</v>
          </cell>
          <cell r="D1582" t="str">
            <v>02850230042 02850230042</v>
          </cell>
          <cell r="E1582" t="str">
            <v>C.SO PIERA CILLARIO  FERRERO, 8</v>
          </cell>
          <cell r="F1582">
            <v>12051</v>
          </cell>
          <cell r="G1582" t="str">
            <v>ALBA</v>
          </cell>
          <cell r="H1582" t="str">
            <v>CN</v>
          </cell>
          <cell r="I1582" t="str">
            <v>ITALIA</v>
          </cell>
          <cell r="J1582" t="str">
            <v>338-5097434</v>
          </cell>
        </row>
        <row r="1583">
          <cell r="B1583">
            <v>7289</v>
          </cell>
          <cell r="C1583" t="str">
            <v>M.A.V. SRL</v>
          </cell>
          <cell r="D1583" t="str">
            <v>02921900987</v>
          </cell>
          <cell r="E1583" t="str">
            <v>VIA LOMBARDIA 2</v>
          </cell>
          <cell r="F1583">
            <v>25025</v>
          </cell>
          <cell r="G1583" t="str">
            <v>MANERBIO</v>
          </cell>
          <cell r="H1583" t="str">
            <v>BS</v>
          </cell>
          <cell r="I1583" t="str">
            <v>ITALIA</v>
          </cell>
          <cell r="J1583" t="str">
            <v>030-9381299</v>
          </cell>
        </row>
        <row r="1584">
          <cell r="B1584">
            <v>6628</v>
          </cell>
          <cell r="C1584" t="str">
            <v>M.C.M. SERVICE S.N. C. DI MARTINA E  MATTEO LONGO</v>
          </cell>
          <cell r="D1584" t="str">
            <v>01978140067 01978140067</v>
          </cell>
          <cell r="E1584" t="str">
            <v>VIA CASALE DI SAN  MICHELE, 32/A</v>
          </cell>
          <cell r="F1584">
            <v>15122</v>
          </cell>
          <cell r="G1584" t="str">
            <v>ALESSANDRIA</v>
          </cell>
          <cell r="H1584" t="str">
            <v>AL</v>
          </cell>
          <cell r="I1584" t="str">
            <v>ITALIA</v>
          </cell>
          <cell r="J1584" t="str">
            <v>335-7862635</v>
          </cell>
        </row>
        <row r="1585">
          <cell r="B1585">
            <v>6120</v>
          </cell>
          <cell r="C1585" t="str">
            <v>M.E.N.D. CAFFE' S.N. C.</v>
          </cell>
          <cell r="D1585" t="str">
            <v>03021820042 03021820042</v>
          </cell>
          <cell r="E1585" t="str">
            <v>VIA CARDE', 8</v>
          </cell>
          <cell r="F1585">
            <v>12032</v>
          </cell>
          <cell r="G1585" t="str">
            <v>BARGE</v>
          </cell>
          <cell r="H1585" t="str">
            <v>CN</v>
          </cell>
          <cell r="I1585" t="str">
            <v>ITALIA</v>
          </cell>
          <cell r="J1585" t="str">
            <v>0175-343886</v>
          </cell>
        </row>
        <row r="1586">
          <cell r="B1586">
            <v>6735</v>
          </cell>
          <cell r="C1586" t="str">
            <v>M.G. DI MAPELLI  GIOVANNI</v>
          </cell>
          <cell r="D1586" t="str">
            <v>00369740964</v>
          </cell>
          <cell r="E1586" t="str">
            <v>VIA BORGAZZI, 112</v>
          </cell>
          <cell r="F1586">
            <v>20900</v>
          </cell>
          <cell r="G1586" t="str">
            <v>MONZA</v>
          </cell>
          <cell r="H1586" t="str">
            <v>MB</v>
          </cell>
          <cell r="I1586" t="str">
            <v>ITALIA</v>
          </cell>
          <cell r="J1586" t="str">
            <v>039-2001674</v>
          </cell>
        </row>
        <row r="1587">
          <cell r="B1587">
            <v>2626</v>
          </cell>
          <cell r="C1587" t="str">
            <v>M.G.D.A.</v>
          </cell>
          <cell r="D1587" t="str">
            <v>26478954027</v>
          </cell>
          <cell r="E1587" t="str">
            <v>2 AC DES TRAVAILS  17/19 CHEMIN DES  TRAVAILS</v>
          </cell>
          <cell r="F1587">
            <v>6140</v>
          </cell>
          <cell r="G1587" t="str">
            <v>CAGNES SUR  MER</v>
          </cell>
          <cell r="I1587" t="str">
            <v>FRANCIA</v>
          </cell>
          <cell r="J1587"/>
        </row>
        <row r="1588">
          <cell r="B1588">
            <v>6443</v>
          </cell>
          <cell r="C1588" t="str">
            <v>M.G.R. DI  DELBALZO  GIUSEPPE E C. SAS</v>
          </cell>
          <cell r="D1588" t="str">
            <v>00202210092 00329810097</v>
          </cell>
          <cell r="E1588" t="str">
            <v>VIA AURELIA, 57</v>
          </cell>
          <cell r="F1588">
            <v>17025</v>
          </cell>
          <cell r="G1588" t="str">
            <v>LOANO</v>
          </cell>
          <cell r="H1588" t="str">
            <v>SV</v>
          </cell>
          <cell r="I1588" t="str">
            <v>ITALIA</v>
          </cell>
          <cell r="J1588" t="str">
            <v>019-668881</v>
          </cell>
        </row>
        <row r="1589">
          <cell r="B1589">
            <v>3842</v>
          </cell>
          <cell r="C1589" t="str">
            <v>M.K. VENDING  DI CORSELLO MARIO</v>
          </cell>
          <cell r="D1589" t="str">
            <v>10409580015 CRSMRA84B07L219 C</v>
          </cell>
          <cell r="E1589" t="str">
            <v>CORSO VERCELLI, 137</v>
          </cell>
          <cell r="F1589">
            <v>10155</v>
          </cell>
          <cell r="G1589" t="str">
            <v>TORINO</v>
          </cell>
          <cell r="H1589" t="str">
            <v>TO</v>
          </cell>
          <cell r="I1589" t="str">
            <v>ITALIA</v>
          </cell>
          <cell r="J1589" t="str">
            <v>348-7432761</v>
          </cell>
        </row>
        <row r="1590">
          <cell r="B1590">
            <v>1436</v>
          </cell>
          <cell r="C1590" t="str">
            <v>M.L.S. DISTRIBUT. AUTOM. S.A.S.</v>
          </cell>
          <cell r="D1590" t="str">
            <v>12686700159 12686700159</v>
          </cell>
          <cell r="E1590" t="str">
            <v>VIA G.BRODOLINI 1</v>
          </cell>
          <cell r="F1590">
            <v>20010</v>
          </cell>
          <cell r="G1590" t="str">
            <v>POGLIANO  MILANESE</v>
          </cell>
          <cell r="H1590" t="str">
            <v>MI</v>
          </cell>
          <cell r="I1590" t="str">
            <v>ITALIA</v>
          </cell>
          <cell r="J1590" t="str">
            <v xml:space="preserve">02-93548453 </v>
          </cell>
        </row>
        <row r="1591">
          <cell r="B1591">
            <v>4149</v>
          </cell>
          <cell r="C1591" t="str">
            <v>M.P.M. SAS DI  CARINGELLA  MATTIA VERONICA &amp; C.</v>
          </cell>
          <cell r="D1591" t="str">
            <v>00817550080 00817550080</v>
          </cell>
          <cell r="E1591" t="str">
            <v>VIA AURELIA, 6</v>
          </cell>
          <cell r="F1591">
            <v>18033</v>
          </cell>
          <cell r="G1591" t="str">
            <v>CAMPOROSSO  MARE IMPERIA</v>
          </cell>
          <cell r="H1591" t="str">
            <v>IM</v>
          </cell>
          <cell r="I1591" t="str">
            <v>ITALIA</v>
          </cell>
          <cell r="J1591" t="str">
            <v xml:space="preserve">0184-253634 </v>
          </cell>
        </row>
        <row r="1592">
          <cell r="B1592">
            <v>2941</v>
          </cell>
          <cell r="C1592" t="str">
            <v>M.R. CAFFE'  ESPRESSO DI  STAGLIANO' LUANA</v>
          </cell>
          <cell r="D1592" t="str">
            <v>01747350997 STGLNU86P41D969 Y</v>
          </cell>
          <cell r="E1592" t="str">
            <v>VIA PASSO PRATO  GAGLIARDO, 2/5</v>
          </cell>
          <cell r="F1592">
            <v>16164</v>
          </cell>
          <cell r="G1592" t="str">
            <v>GENOVA</v>
          </cell>
          <cell r="H1592" t="str">
            <v>GE</v>
          </cell>
          <cell r="I1592" t="str">
            <v>ITALIA</v>
          </cell>
          <cell r="J1592" t="str">
            <v xml:space="preserve">010-4075552 </v>
          </cell>
        </row>
        <row r="1593">
          <cell r="B1593">
            <v>3718</v>
          </cell>
          <cell r="C1593" t="str">
            <v>M.S.T.  S.R.L.</v>
          </cell>
          <cell r="D1593" t="str">
            <v>03674480961 03674480961</v>
          </cell>
          <cell r="E1593" t="str">
            <v>VIA I° MAGGIO, 22</v>
          </cell>
          <cell r="F1593">
            <v>20070</v>
          </cell>
          <cell r="G1593" t="str">
            <v>SAN ZENONE AL  LAMBRO</v>
          </cell>
          <cell r="H1593" t="str">
            <v>MI</v>
          </cell>
          <cell r="I1593" t="str">
            <v>ITALIA</v>
          </cell>
          <cell r="J1593" t="str">
            <v xml:space="preserve">02-49468797 </v>
          </cell>
        </row>
        <row r="1594">
          <cell r="B1594">
            <v>4047</v>
          </cell>
          <cell r="C1594" t="str">
            <v>M.V. S.R.L.</v>
          </cell>
          <cell r="D1594" t="str">
            <v>01517120083 01517120083</v>
          </cell>
          <cell r="E1594" t="str">
            <v>VIA GIUSEPPE BERIO, 15</v>
          </cell>
          <cell r="F1594">
            <v>18100</v>
          </cell>
          <cell r="G1594" t="str">
            <v>IMPERIA</v>
          </cell>
          <cell r="H1594" t="str">
            <v>IM</v>
          </cell>
          <cell r="I1594" t="str">
            <v>ITALIA</v>
          </cell>
          <cell r="J1594" t="str">
            <v xml:space="preserve">0183-546908 </v>
          </cell>
        </row>
        <row r="1595">
          <cell r="B1595">
            <v>4572</v>
          </cell>
          <cell r="C1595" t="str">
            <v>M1 VENDING DI  BAUCO MASSIMO</v>
          </cell>
          <cell r="D1595" t="str">
            <v>02634400606 BCAMSM71L16D810 X</v>
          </cell>
          <cell r="E1595" t="str">
            <v>VIA COLLE ALTO 25</v>
          </cell>
          <cell r="F1595">
            <v>3027</v>
          </cell>
          <cell r="G1595" t="str">
            <v>RIPI</v>
          </cell>
          <cell r="H1595" t="str">
            <v>FR</v>
          </cell>
          <cell r="I1595" t="str">
            <v>ITALIA</v>
          </cell>
          <cell r="J1595" t="str">
            <v>331-3347776</v>
          </cell>
        </row>
        <row r="1596">
          <cell r="B1596">
            <v>1775</v>
          </cell>
          <cell r="C1596" t="str">
            <v>MA E MA S.N.C. DI  NICOLI MAURIZIO &amp;  SIRO NOVI</v>
          </cell>
          <cell r="D1596" t="str">
            <v>02638490132 02638490132</v>
          </cell>
          <cell r="E1596" t="str">
            <v>VIA CERESOLA,26</v>
          </cell>
          <cell r="F1596">
            <v>22024</v>
          </cell>
          <cell r="G1596" t="str">
            <v>LANZO D'INTELVI</v>
          </cell>
          <cell r="H1596" t="str">
            <v>CO</v>
          </cell>
          <cell r="I1596" t="str">
            <v>ITALIA</v>
          </cell>
          <cell r="J1596" t="str">
            <v>031-841190</v>
          </cell>
        </row>
        <row r="1597">
          <cell r="B1597">
            <v>1807</v>
          </cell>
          <cell r="C1597" t="str">
            <v>MA.GIA. S.R.L.</v>
          </cell>
          <cell r="D1597" t="str">
            <v>01870210034 01870210034</v>
          </cell>
          <cell r="E1597" t="str">
            <v>VIA FRANCESCO TADINI,  2/A</v>
          </cell>
          <cell r="F1597">
            <v>28100</v>
          </cell>
          <cell r="G1597" t="str">
            <v>NOVARA</v>
          </cell>
          <cell r="H1597" t="str">
            <v>NO</v>
          </cell>
          <cell r="I1597" t="str">
            <v>ITALIA</v>
          </cell>
          <cell r="J1597" t="str">
            <v>0321- 453348</v>
          </cell>
        </row>
        <row r="1598">
          <cell r="B1598">
            <v>2305</v>
          </cell>
          <cell r="C1598" t="str">
            <v>MA.SA. SALDATURE DI SITZIA ANTONIO</v>
          </cell>
          <cell r="D1598" t="str">
            <v>09135140011 STZNTN62A28E031L</v>
          </cell>
          <cell r="E1598" t="str">
            <v>VIA SANSOVINO, 243/65</v>
          </cell>
          <cell r="F1598">
            <v>10151</v>
          </cell>
          <cell r="G1598" t="str">
            <v>TORINO</v>
          </cell>
          <cell r="H1598" t="str">
            <v>TO</v>
          </cell>
          <cell r="I1598" t="str">
            <v>ITALIA</v>
          </cell>
          <cell r="J1598" t="str">
            <v xml:space="preserve">011-4553660 </v>
          </cell>
        </row>
        <row r="1599">
          <cell r="B1599">
            <v>6774</v>
          </cell>
          <cell r="C1599" t="str">
            <v>MABER ITALIANA  ELETTROCASALINGH I SNC</v>
          </cell>
          <cell r="D1599" t="str">
            <v>01318370168 01318370168</v>
          </cell>
          <cell r="E1599" t="str">
            <v>VIA BERGAMO, 32</v>
          </cell>
          <cell r="F1599">
            <v>24035</v>
          </cell>
          <cell r="G1599" t="str">
            <v>CURNO</v>
          </cell>
          <cell r="H1599" t="str">
            <v>BG</v>
          </cell>
          <cell r="I1599" t="str">
            <v>ITALIA</v>
          </cell>
          <cell r="J1599" t="str">
            <v>035-617897</v>
          </cell>
        </row>
        <row r="1600">
          <cell r="B1600">
            <v>3209</v>
          </cell>
          <cell r="C1600" t="str">
            <v>MACH.ME DI DI  PICCA PICCONE  VITTORIO</v>
          </cell>
          <cell r="D1600" t="str">
            <v>07388140019 PCCVTR64E30D008 N</v>
          </cell>
          <cell r="E1600" t="str">
            <v>STRADALE TORINO, 59</v>
          </cell>
          <cell r="F1600">
            <v>10070</v>
          </cell>
          <cell r="G1600" t="str">
            <v>BENNE DI CORIO</v>
          </cell>
          <cell r="H1600" t="str">
            <v>TO</v>
          </cell>
          <cell r="I1600" t="str">
            <v>ITALIA</v>
          </cell>
          <cell r="J1600" t="str">
            <v xml:space="preserve">011-9282686 </v>
          </cell>
        </row>
        <row r="1601">
          <cell r="B1601">
            <v>4533</v>
          </cell>
          <cell r="C1601" t="str">
            <v>MACOS S.A.</v>
          </cell>
          <cell r="D1601" t="str">
            <v>107914031</v>
          </cell>
          <cell r="E1601" t="str">
            <v>VIA CANTONALE, 11/C</v>
          </cell>
          <cell r="F1601">
            <v>6855</v>
          </cell>
          <cell r="G1601" t="str">
            <v>STABIO -  SVIZZERA -</v>
          </cell>
          <cell r="I1601" t="str">
            <v>SVIZZERA</v>
          </cell>
          <cell r="J1601" t="str">
            <v>0041-916471540</v>
          </cell>
        </row>
        <row r="1602">
          <cell r="B1602">
            <v>6681</v>
          </cell>
          <cell r="C1602" t="str">
            <v>MADAMA CRISTINA BED &amp; BREAKFAST</v>
          </cell>
          <cell r="D1602" t="str">
            <v>BOXMCF62H01L219 D</v>
          </cell>
          <cell r="E1602" t="str">
            <v>PIAZZA MADAMA  CRISTINA, 1</v>
          </cell>
          <cell r="F1602">
            <v>10125</v>
          </cell>
          <cell r="G1602" t="str">
            <v>TORINO</v>
          </cell>
          <cell r="H1602" t="str">
            <v>TO</v>
          </cell>
          <cell r="I1602" t="str">
            <v>ITALIA</v>
          </cell>
          <cell r="J1602" t="str">
            <v>346-1323466</v>
          </cell>
        </row>
        <row r="1603">
          <cell r="B1603">
            <v>6522</v>
          </cell>
          <cell r="C1603" t="str">
            <v>MADI DI MARIKA  GALLO</v>
          </cell>
          <cell r="D1603" t="str">
            <v>10859470014 GLLMRK77D53F839 V</v>
          </cell>
          <cell r="E1603" t="str">
            <v>CORSO CARLO E NELLO  ROSSELLI, 101</v>
          </cell>
          <cell r="F1603">
            <v>10129</v>
          </cell>
          <cell r="G1603" t="str">
            <v>TORINO</v>
          </cell>
          <cell r="H1603" t="str">
            <v>TO</v>
          </cell>
          <cell r="I1603" t="str">
            <v>ITALIA</v>
          </cell>
          <cell r="J1603" t="str">
            <v xml:space="preserve">011-2765249 </v>
          </cell>
        </row>
        <row r="1604">
          <cell r="B1604">
            <v>4243</v>
          </cell>
          <cell r="C1604" t="str">
            <v>MAFISH DI  MASTROSIMONE  SHARON</v>
          </cell>
          <cell r="D1604" t="str">
            <v>10553100016 MSTSRN91R68L219 A</v>
          </cell>
          <cell r="E1604" t="str">
            <v>VIA  DEL CASTELLO, 16</v>
          </cell>
          <cell r="F1604">
            <v>10082</v>
          </cell>
          <cell r="G1604" t="str">
            <v>CUORGNE'</v>
          </cell>
          <cell r="H1604" t="str">
            <v>TO</v>
          </cell>
          <cell r="I1604" t="str">
            <v>ITALIA</v>
          </cell>
          <cell r="J1604" t="str">
            <v>393-1813257</v>
          </cell>
        </row>
        <row r="1605">
          <cell r="B1605">
            <v>7196</v>
          </cell>
          <cell r="C1605" t="str">
            <v>MAGAZZINI PIAVE  DI FALCONE  FRANCESCA</v>
          </cell>
          <cell r="D1605" t="str">
            <v>09367880961</v>
          </cell>
          <cell r="E1605" t="str">
            <v>VIA PIAVE 24/1</v>
          </cell>
          <cell r="F1605">
            <v>20024</v>
          </cell>
          <cell r="G1605" t="str">
            <v>GARBAGNATE  MILANESE</v>
          </cell>
          <cell r="H1605" t="str">
            <v>MI</v>
          </cell>
          <cell r="I1605" t="str">
            <v>ITALIA</v>
          </cell>
          <cell r="J1605" t="str">
            <v>349-5239878</v>
          </cell>
        </row>
        <row r="1606">
          <cell r="B1606">
            <v>1754</v>
          </cell>
          <cell r="C1606" t="str">
            <v>MAGIC COFFEE</v>
          </cell>
          <cell r="D1606" t="str">
            <v>01850080035 RMOFNC56D22D872 V</v>
          </cell>
          <cell r="E1606" t="str">
            <v>VIA NATALE MACCHI, 14</v>
          </cell>
          <cell r="F1606">
            <v>28066</v>
          </cell>
          <cell r="G1606" t="str">
            <v>GALLIATE</v>
          </cell>
          <cell r="H1606" t="str">
            <v>NO</v>
          </cell>
          <cell r="I1606" t="str">
            <v>ITALIA</v>
          </cell>
          <cell r="J1606" t="str">
            <v>0321-864841</v>
          </cell>
        </row>
        <row r="1607">
          <cell r="B1607">
            <v>6952</v>
          </cell>
          <cell r="C1607" t="str">
            <v>MAGIC DI MARTINI &amp; C. SNC</v>
          </cell>
          <cell r="D1607" t="str">
            <v>00203010996 03063810109</v>
          </cell>
          <cell r="E1607" t="str">
            <v>VIA N. SAURO, 78</v>
          </cell>
          <cell r="F1607">
            <v>16043</v>
          </cell>
          <cell r="G1607" t="str">
            <v>CHIAVARI</v>
          </cell>
          <cell r="H1607" t="str">
            <v>GE</v>
          </cell>
          <cell r="I1607" t="str">
            <v>ITALIA</v>
          </cell>
          <cell r="J1607" t="str">
            <v xml:space="preserve">0185-322320 </v>
          </cell>
        </row>
        <row r="1608">
          <cell r="B1608">
            <v>7107</v>
          </cell>
          <cell r="C1608" t="str">
            <v>MAGLIFICIO  FRANCA DI BODO  SIMONE &amp; C. S.N.C.</v>
          </cell>
          <cell r="D1608" t="str">
            <v>01711610020 01711610020</v>
          </cell>
          <cell r="E1608" t="str">
            <v>VIA CERETTA, 2</v>
          </cell>
          <cell r="F1608">
            <v>13040</v>
          </cell>
          <cell r="G1608" t="str">
            <v>PALAZZOLO  VERCELLESE</v>
          </cell>
          <cell r="H1608" t="str">
            <v>VC</v>
          </cell>
          <cell r="I1608" t="str">
            <v>ITALIA</v>
          </cell>
          <cell r="J1608" t="str">
            <v>349-4559227</v>
          </cell>
        </row>
        <row r="1609">
          <cell r="B1609">
            <v>6578</v>
          </cell>
          <cell r="C1609" t="str">
            <v>MAGS DI DAL  GRANDE MASSIMO</v>
          </cell>
          <cell r="D1609" t="str">
            <v>03427020049 DLGMSM63B15B111 Z</v>
          </cell>
          <cell r="E1609" t="str">
            <v>VIA DON ORIONE, 166</v>
          </cell>
          <cell r="F1609">
            <v>12042</v>
          </cell>
          <cell r="G1609" t="str">
            <v>BRA</v>
          </cell>
          <cell r="H1609" t="str">
            <v>CN</v>
          </cell>
          <cell r="I1609" t="str">
            <v>ITALIA</v>
          </cell>
          <cell r="J1609" t="str">
            <v>333-8000719</v>
          </cell>
        </row>
        <row r="1610">
          <cell r="B1610">
            <v>4464</v>
          </cell>
          <cell r="C1610" t="str">
            <v>MAI CHIUSO DI  SERAFINI SIMONE &amp;  C. S.A.S.</v>
          </cell>
          <cell r="D1610" t="str">
            <v>02517000416 02517000416</v>
          </cell>
          <cell r="E1610" t="str">
            <v>VIA MURA MALATESTIANE, 1/A</v>
          </cell>
          <cell r="F1610">
            <v>61032</v>
          </cell>
          <cell r="G1610" t="str">
            <v>FANO</v>
          </cell>
          <cell r="H1610" t="str">
            <v>PU</v>
          </cell>
          <cell r="I1610" t="str">
            <v>ITALIA</v>
          </cell>
          <cell r="J1610" t="str">
            <v>333-2656800</v>
          </cell>
        </row>
        <row r="1611">
          <cell r="B1611">
            <v>7237</v>
          </cell>
          <cell r="C1611" t="str">
            <v>MAISANO MANOLA</v>
          </cell>
          <cell r="D1611" t="str">
            <v>MSNMNL80M63D869 Q</v>
          </cell>
          <cell r="E1611" t="str">
            <v>VIA CARDUCCI 24 A</v>
          </cell>
          <cell r="F1611">
            <v>22077</v>
          </cell>
          <cell r="G1611" t="str">
            <v>OLGIATE  COMASCO</v>
          </cell>
          <cell r="H1611" t="str">
            <v>CO</v>
          </cell>
          <cell r="I1611" t="str">
            <v>ITALIA</v>
          </cell>
          <cell r="J1611" t="str">
            <v>338-3832695</v>
          </cell>
        </row>
        <row r="1612">
          <cell r="B1612">
            <v>7540</v>
          </cell>
          <cell r="C1612" t="str">
            <v>MALAGOLI PAOLA</v>
          </cell>
          <cell r="D1612" t="str">
            <v>MLGPLA78S66I496G</v>
          </cell>
          <cell r="E1612" t="str">
            <v>VIA GIOVANNI ZIBORDI,  23</v>
          </cell>
          <cell r="F1612">
            <v>42048</v>
          </cell>
          <cell r="G1612" t="str">
            <v>RUBIERA</v>
          </cell>
          <cell r="H1612" t="str">
            <v>RE</v>
          </cell>
          <cell r="I1612" t="str">
            <v>ITALIA</v>
          </cell>
          <cell r="J1612" t="str">
            <v>392-2091254</v>
          </cell>
        </row>
        <row r="1613">
          <cell r="B1613">
            <v>7364</v>
          </cell>
          <cell r="C1613" t="str">
            <v>MALIZIA EMILIANO</v>
          </cell>
          <cell r="D1613" t="str">
            <v>MLZMLN78T29H501 H</v>
          </cell>
          <cell r="E1613" t="str">
            <v>VIA NOVILARA 32</v>
          </cell>
          <cell r="F1613">
            <v>138</v>
          </cell>
          <cell r="G1613" t="str">
            <v>ROMA</v>
          </cell>
          <cell r="H1613" t="str">
            <v>RM</v>
          </cell>
          <cell r="I1613" t="str">
            <v>ITALIA</v>
          </cell>
          <cell r="J1613" t="str">
            <v>338-7025058</v>
          </cell>
        </row>
        <row r="1614">
          <cell r="B1614">
            <v>225</v>
          </cell>
          <cell r="C1614" t="str">
            <v>MANCINI GROUP  DI MANCINI  ROBERTO</v>
          </cell>
          <cell r="D1614" t="str">
            <v>01932240136 MNCRRT61E09D341 K</v>
          </cell>
          <cell r="E1614" t="str">
            <v>VIA STATALE, 121</v>
          </cell>
          <cell r="F1614">
            <v>22014</v>
          </cell>
          <cell r="G1614" t="str">
            <v>DONGO</v>
          </cell>
          <cell r="H1614" t="str">
            <v>CO</v>
          </cell>
          <cell r="I1614" t="str">
            <v>ITALIA</v>
          </cell>
          <cell r="J1614" t="str">
            <v>0344-82883</v>
          </cell>
        </row>
        <row r="1615">
          <cell r="B1615">
            <v>6418</v>
          </cell>
          <cell r="C1615" t="str">
            <v>MANCINI GROUP S. R.L.</v>
          </cell>
          <cell r="D1615" t="str">
            <v>03683560134 03683560134</v>
          </cell>
          <cell r="E1615" t="str">
            <v>VIA STATALE, 121</v>
          </cell>
          <cell r="F1615">
            <v>22014</v>
          </cell>
          <cell r="G1615" t="str">
            <v>DONGO</v>
          </cell>
          <cell r="H1615" t="str">
            <v>CO</v>
          </cell>
          <cell r="I1615" t="str">
            <v>ITALIA</v>
          </cell>
          <cell r="J1615" t="str">
            <v>0344-82883</v>
          </cell>
        </row>
        <row r="1616">
          <cell r="B1616">
            <v>7532</v>
          </cell>
          <cell r="C1616" t="str">
            <v>MANDELLI MONICA</v>
          </cell>
          <cell r="D1616" t="str">
            <v>MNDMNC87C62L319 Y</v>
          </cell>
          <cell r="E1616" t="str">
            <v>VIA DONATELLO 64/C</v>
          </cell>
          <cell r="F1616">
            <v>21040</v>
          </cell>
          <cell r="G1616" t="str">
            <v>CISLAGO</v>
          </cell>
          <cell r="H1616" t="str">
            <v>VA</v>
          </cell>
          <cell r="I1616" t="str">
            <v>ITALIA</v>
          </cell>
          <cell r="J1616" t="str">
            <v>347-7056249</v>
          </cell>
        </row>
        <row r="1617">
          <cell r="B1617">
            <v>7504</v>
          </cell>
          <cell r="C1617" t="str">
            <v>MANGANELLI MAURO</v>
          </cell>
          <cell r="D1617" t="str">
            <v>MNGMRA64A06D96 9W</v>
          </cell>
          <cell r="E1617" t="str">
            <v>VIA PIETRO NENNI 2</v>
          </cell>
          <cell r="F1617">
            <v>53100</v>
          </cell>
          <cell r="G1617" t="str">
            <v>SIENA</v>
          </cell>
          <cell r="H1617" t="str">
            <v>SI</v>
          </cell>
          <cell r="I1617" t="str">
            <v>ITALIA</v>
          </cell>
          <cell r="J1617" t="str">
            <v>331-7867024</v>
          </cell>
        </row>
        <row r="1618">
          <cell r="B1618">
            <v>3074</v>
          </cell>
          <cell r="C1618" t="str">
            <v>MANGANO MARIO</v>
          </cell>
          <cell r="D1618" t="str">
            <v>05974440967 MNGMRA72P01F158 N</v>
          </cell>
          <cell r="E1618" t="str">
            <v>VIA PAVIA, 26</v>
          </cell>
          <cell r="F1618">
            <v>20031</v>
          </cell>
          <cell r="G1618" t="str">
            <v>CESANO  MADERNO</v>
          </cell>
          <cell r="H1618" t="str">
            <v>MI</v>
          </cell>
          <cell r="I1618" t="str">
            <v>ITALIA</v>
          </cell>
          <cell r="J1618" t="str">
            <v>346-2147734</v>
          </cell>
        </row>
        <row r="1619">
          <cell r="B1619">
            <v>7429</v>
          </cell>
          <cell r="C1619" t="str">
            <v>MANGIACASALE  SAVERIO</v>
          </cell>
          <cell r="D1619" t="str">
            <v>MNGSVR67H30D236 E</v>
          </cell>
          <cell r="E1619" t="str">
            <v>VIA SASSO MORELLI 55/C</v>
          </cell>
          <cell r="F1619">
            <v>40026</v>
          </cell>
          <cell r="G1619" t="str">
            <v>IMOLA</v>
          </cell>
          <cell r="H1619" t="str">
            <v>BO</v>
          </cell>
          <cell r="I1619" t="str">
            <v>ITALIA</v>
          </cell>
          <cell r="J1619" t="str">
            <v>342-1426094</v>
          </cell>
        </row>
        <row r="1620">
          <cell r="B1620">
            <v>3561</v>
          </cell>
          <cell r="C1620" t="str">
            <v>MANILA S.A.S. DI  TAGLIENTE  MAURIZIO &amp; C.</v>
          </cell>
          <cell r="D1620" t="str">
            <v>10135920014 10135920014</v>
          </cell>
          <cell r="E1620" t="str">
            <v>STRADA DELLE  GHIACCIAIE, 1</v>
          </cell>
          <cell r="F1620">
            <v>10143</v>
          </cell>
          <cell r="G1620" t="str">
            <v>TORINO</v>
          </cell>
          <cell r="H1620" t="str">
            <v>TO</v>
          </cell>
          <cell r="I1620" t="str">
            <v>ITALIA</v>
          </cell>
          <cell r="J1620" t="str">
            <v>329-1779682</v>
          </cell>
        </row>
        <row r="1621">
          <cell r="B1621">
            <v>3530</v>
          </cell>
          <cell r="C1621" t="str">
            <v>MANSOLDO  GIOVANNI</v>
          </cell>
          <cell r="D1621" t="str">
            <v>MNSGNN40A25A374 A</v>
          </cell>
          <cell r="E1621" t="str">
            <v>VIA PRIVATA OASI, 1/3</v>
          </cell>
          <cell r="F1621">
            <v>28066</v>
          </cell>
          <cell r="G1621" t="str">
            <v>CAMERI</v>
          </cell>
          <cell r="H1621" t="str">
            <v>NO</v>
          </cell>
          <cell r="I1621" t="str">
            <v>ITALIA</v>
          </cell>
          <cell r="J1621" t="str">
            <v xml:space="preserve">0321-518870 </v>
          </cell>
        </row>
        <row r="1622">
          <cell r="B1622">
            <v>4948</v>
          </cell>
          <cell r="C1622" t="str">
            <v>MANUEL CAFFE' SRLS</v>
          </cell>
          <cell r="D1622" t="str">
            <v>02498320031 CSTPRC84C05B019 X</v>
          </cell>
          <cell r="E1622" t="str">
            <v>PIAZZA GARIBALDI, 6</v>
          </cell>
          <cell r="F1622">
            <v>28068</v>
          </cell>
          <cell r="G1622" t="str">
            <v>ROMENTINO</v>
          </cell>
          <cell r="H1622" t="str">
            <v>NO</v>
          </cell>
          <cell r="I1622" t="str">
            <v>ITALIA</v>
          </cell>
          <cell r="J1622" t="str">
            <v>329-1447671</v>
          </cell>
        </row>
        <row r="1623">
          <cell r="B1623">
            <v>4892</v>
          </cell>
          <cell r="C1623" t="str">
            <v>MANZI BENVENUTA  ROSALBA</v>
          </cell>
          <cell r="D1623" t="str">
            <v>11111850019 MNZBVN72R68L219 M</v>
          </cell>
          <cell r="E1623" t="str">
            <v>CORSO COSENZA, 54</v>
          </cell>
          <cell r="F1623">
            <v>10137</v>
          </cell>
          <cell r="G1623" t="str">
            <v>TORINO</v>
          </cell>
          <cell r="H1623" t="str">
            <v>TO</v>
          </cell>
          <cell r="I1623" t="str">
            <v>ITALIA</v>
          </cell>
          <cell r="J1623" t="str">
            <v>011-19784898</v>
          </cell>
        </row>
        <row r="1624">
          <cell r="B1624">
            <v>2353</v>
          </cell>
          <cell r="C1624" t="str">
            <v>MAPAK S.R.L.</v>
          </cell>
          <cell r="D1624" t="str">
            <v>02933190130 02933190130</v>
          </cell>
          <cell r="E1624" t="str">
            <v>VIALE ROOSEVELT, 19/C</v>
          </cell>
          <cell r="F1624">
            <v>22100</v>
          </cell>
          <cell r="G1624" t="str">
            <v>COMO</v>
          </cell>
          <cell r="H1624" t="str">
            <v>CO</v>
          </cell>
          <cell r="I1624" t="str">
            <v>ITALIA</v>
          </cell>
          <cell r="J1624" t="str">
            <v xml:space="preserve">0331-731026 </v>
          </cell>
        </row>
        <row r="1625">
          <cell r="B1625">
            <v>4912</v>
          </cell>
          <cell r="C1625" t="str">
            <v>MAPAT DI PATTI  MASSIMO</v>
          </cell>
          <cell r="D1625" t="str">
            <v>11523330014 PTTMSM94T30L219 X</v>
          </cell>
          <cell r="E1625" t="str">
            <v>STRADA DEL DROSSO,  59/A</v>
          </cell>
          <cell r="F1625">
            <v>10135</v>
          </cell>
          <cell r="G1625" t="str">
            <v>TORINO</v>
          </cell>
          <cell r="H1625" t="str">
            <v>TO</v>
          </cell>
          <cell r="I1625" t="str">
            <v>ITALIA</v>
          </cell>
          <cell r="J1625" t="str">
            <v>011-3970965</v>
          </cell>
        </row>
        <row r="1626">
          <cell r="B1626">
            <v>5597</v>
          </cell>
          <cell r="C1626" t="str">
            <v>MAPAT DI PATTI  MATTEO</v>
          </cell>
          <cell r="D1626" t="str">
            <v>05353630014 PTTMTT52C18C351 F</v>
          </cell>
          <cell r="E1626" t="str">
            <v>STRADA DEL DROSSO,  59/A</v>
          </cell>
          <cell r="F1626">
            <v>10135</v>
          </cell>
          <cell r="G1626" t="str">
            <v>TORINO</v>
          </cell>
          <cell r="H1626" t="str">
            <v>TO</v>
          </cell>
          <cell r="I1626" t="str">
            <v>ITALIA</v>
          </cell>
          <cell r="J1626" t="str">
            <v>011-3970965</v>
          </cell>
        </row>
        <row r="1627">
          <cell r="B1627">
            <v>6865</v>
          </cell>
          <cell r="C1627" t="str">
            <v>MARANGHI  GIUSEPPE</v>
          </cell>
          <cell r="D1627" t="str">
            <v>MRNGPP64C30F205 A</v>
          </cell>
          <cell r="E1627" t="str">
            <v>VIA REBOLGIANE, 38</v>
          </cell>
          <cell r="F1627">
            <v>21014</v>
          </cell>
          <cell r="G1627" t="str">
            <v>LAVENO  MOMBELLO</v>
          </cell>
          <cell r="H1627" t="str">
            <v>VA</v>
          </cell>
          <cell r="I1627" t="str">
            <v>ITALIA</v>
          </cell>
          <cell r="J1627" t="str">
            <v>393-207283210</v>
          </cell>
        </row>
        <row r="1628">
          <cell r="B1628">
            <v>7494</v>
          </cell>
          <cell r="C1628" t="str">
            <v>MARCHESINI  CHRISTIAN</v>
          </cell>
          <cell r="D1628" t="str">
            <v>MRCCRS69T04A944 T</v>
          </cell>
          <cell r="E1628" t="str">
            <v>VIA GIOANETTI 9/A</v>
          </cell>
          <cell r="F1628">
            <v>40127</v>
          </cell>
          <cell r="G1628" t="str">
            <v>BOLOGNA</v>
          </cell>
          <cell r="H1628" t="str">
            <v>BO</v>
          </cell>
          <cell r="I1628" t="str">
            <v>ITALIA</v>
          </cell>
          <cell r="J1628" t="str">
            <v>328-8294553</v>
          </cell>
        </row>
        <row r="1629">
          <cell r="B1629">
            <v>7236</v>
          </cell>
          <cell r="C1629" t="str">
            <v>MARCONI ARIANNA</v>
          </cell>
          <cell r="D1629" t="str">
            <v>MRCRNN77T71D612 D</v>
          </cell>
          <cell r="E1629" t="str">
            <v>VIA LEONARDO DA VINCI  3</v>
          </cell>
          <cell r="F1629">
            <v>50022</v>
          </cell>
          <cell r="G1629" t="str">
            <v>GREVE IN  CHIANTI</v>
          </cell>
          <cell r="H1629" t="str">
            <v>FI</v>
          </cell>
          <cell r="I1629" t="str">
            <v>ITALIA</v>
          </cell>
          <cell r="J1629" t="str">
            <v>349-3207890</v>
          </cell>
        </row>
        <row r="1630">
          <cell r="B1630">
            <v>7197</v>
          </cell>
          <cell r="C1630" t="str">
            <v>MARCUCCI  GIANFRANCO</v>
          </cell>
          <cell r="D1630" t="str">
            <v>MRCGFR45H15A577 C</v>
          </cell>
          <cell r="E1630" t="str">
            <v>VIA URBANO URBANI</v>
          </cell>
          <cell r="F1630">
            <v>1022</v>
          </cell>
          <cell r="G1630" t="str">
            <v>BAGNOREGIO</v>
          </cell>
          <cell r="H1630" t="str">
            <v>VT</v>
          </cell>
          <cell r="I1630" t="str">
            <v>ITALIA</v>
          </cell>
          <cell r="J1630" t="str">
            <v>339-3583552</v>
          </cell>
        </row>
        <row r="1631">
          <cell r="B1631">
            <v>7049</v>
          </cell>
          <cell r="C1631" t="str">
            <v>MARELLA ANGELA</v>
          </cell>
          <cell r="D1631" t="str">
            <v>MRLNGL76D53A662 Q</v>
          </cell>
          <cell r="E1631" t="str">
            <v>VIA MACHIAVELLI, 17</v>
          </cell>
          <cell r="F1631">
            <v>70010</v>
          </cell>
          <cell r="G1631" t="str">
            <v>CAPURSO</v>
          </cell>
          <cell r="H1631" t="str">
            <v>BA</v>
          </cell>
          <cell r="I1631" t="str">
            <v>ITALIA</v>
          </cell>
          <cell r="J1631" t="str">
            <v>347-5984968</v>
          </cell>
        </row>
        <row r="1632">
          <cell r="B1632">
            <v>10147</v>
          </cell>
          <cell r="C1632" t="str">
            <v>MARGI S.R.L.S. C/O NEGOZIO 101 CAFFE' CENTRO COMM. VIMODRONE</v>
          </cell>
          <cell r="E1632" t="str">
            <v>STRADA PADANA SUPERIORE, 292</v>
          </cell>
          <cell r="F1632">
            <v>20055</v>
          </cell>
          <cell r="G1632" t="str">
            <v>VIMODRONE</v>
          </cell>
          <cell r="H1632" t="str">
            <v>MI</v>
          </cell>
          <cell r="I1632" t="str">
            <v>ITALIA</v>
          </cell>
          <cell r="J1632" t="str">
            <v>335-5204470</v>
          </cell>
        </row>
        <row r="1633">
          <cell r="B1633">
            <v>7058</v>
          </cell>
          <cell r="C1633" t="str">
            <v>MARIA ASSUNTA  GIANNOTTA</v>
          </cell>
          <cell r="D1633" t="str">
            <v>GNNMSS64D49B822 M</v>
          </cell>
          <cell r="E1633" t="str">
            <v>VIA PUCCINI, 32</v>
          </cell>
          <cell r="F1633">
            <v>73020</v>
          </cell>
          <cell r="G1633" t="str">
            <v>CARPIGNANO  SALENTINO</v>
          </cell>
          <cell r="H1633" t="str">
            <v>LE</v>
          </cell>
          <cell r="I1633" t="str">
            <v>ITALIA</v>
          </cell>
          <cell r="J1633" t="str">
            <v>371-3741864</v>
          </cell>
        </row>
        <row r="1634">
          <cell r="B1634">
            <v>7190</v>
          </cell>
          <cell r="C1634" t="str">
            <v>MARIANO CARMINE</v>
          </cell>
          <cell r="D1634" t="str">
            <v>MRNCMN69T03I800 F</v>
          </cell>
          <cell r="E1634" t="str">
            <v>VIA XXI MAGGIO, 97</v>
          </cell>
          <cell r="F1634">
            <v>73010</v>
          </cell>
          <cell r="G1634" t="str">
            <v>SOLETO</v>
          </cell>
          <cell r="H1634" t="str">
            <v>LE</v>
          </cell>
          <cell r="I1634" t="str">
            <v>ITALIA</v>
          </cell>
          <cell r="J1634" t="str">
            <v>330-737472</v>
          </cell>
        </row>
        <row r="1635">
          <cell r="B1635">
            <v>4629</v>
          </cell>
          <cell r="C1635" t="str">
            <v>MARIGAS S.R.L.</v>
          </cell>
          <cell r="D1635" t="str">
            <v>00930380183</v>
          </cell>
          <cell r="E1635" t="str">
            <v>VIA PER BUSTO ARSIZIO,  33</v>
          </cell>
          <cell r="F1635">
            <v>20025</v>
          </cell>
          <cell r="G1635" t="str">
            <v>LEGNANO</v>
          </cell>
          <cell r="H1635" t="str">
            <v>MI</v>
          </cell>
          <cell r="I1635" t="str">
            <v>ITALIA</v>
          </cell>
        </row>
        <row r="1636">
          <cell r="B1636">
            <v>3483</v>
          </cell>
          <cell r="C1636" t="str">
            <v>MARILU'  AUTOMATICA S.R.L.</v>
          </cell>
          <cell r="D1636" t="str">
            <v>03188500130 03188500130</v>
          </cell>
          <cell r="E1636" t="str">
            <v>VIA BREGNO, 1</v>
          </cell>
          <cell r="F1636">
            <v>22100</v>
          </cell>
          <cell r="G1636" t="str">
            <v>COMO</v>
          </cell>
          <cell r="H1636" t="str">
            <v>CO</v>
          </cell>
          <cell r="I1636" t="str">
            <v>ITALIA</v>
          </cell>
          <cell r="J1636" t="str">
            <v>334-8469920</v>
          </cell>
        </row>
        <row r="1637">
          <cell r="B1637">
            <v>7160</v>
          </cell>
          <cell r="C1637" t="str">
            <v>MARINI  MASSIMILIANO</v>
          </cell>
          <cell r="D1637" t="str">
            <v>MRNMSM68P13H501 P</v>
          </cell>
          <cell r="E1637" t="str">
            <v>VIA PIO IX, 59</v>
          </cell>
          <cell r="F1637">
            <v>167</v>
          </cell>
          <cell r="G1637" t="str">
            <v>ROMA</v>
          </cell>
          <cell r="H1637" t="str">
            <v>RM</v>
          </cell>
          <cell r="I1637" t="str">
            <v>ITALIA</v>
          </cell>
          <cell r="J1637" t="str">
            <v>392-8012521</v>
          </cell>
        </row>
        <row r="1638">
          <cell r="B1638">
            <v>4457</v>
          </cell>
          <cell r="C1638" t="str">
            <v>MARINO ANTONIO</v>
          </cell>
          <cell r="D1638" t="str">
            <v>09850430019 MRNNTN70P01L219 X</v>
          </cell>
          <cell r="E1638" t="str">
            <v>VIA VANDALINO, 39/A</v>
          </cell>
          <cell r="F1638">
            <v>10093</v>
          </cell>
          <cell r="G1638" t="str">
            <v>COLLEGNO</v>
          </cell>
          <cell r="H1638" t="str">
            <v>TO</v>
          </cell>
          <cell r="I1638" t="str">
            <v>ITALIA</v>
          </cell>
          <cell r="J1638" t="str">
            <v>335-1336799</v>
          </cell>
        </row>
        <row r="1639">
          <cell r="B1639">
            <v>7381</v>
          </cell>
          <cell r="C1639" t="str">
            <v>MARINUZZI GIANLEO</v>
          </cell>
          <cell r="D1639" t="str">
            <v>MRNGNL90C13C134 K</v>
          </cell>
          <cell r="E1639" t="str">
            <v>VIA TRATTURO  SPAGNUOLO 1/A</v>
          </cell>
          <cell r="F1639">
            <v>70013</v>
          </cell>
          <cell r="G1639" t="str">
            <v>CASTELLANA  GROTTE</v>
          </cell>
          <cell r="H1639" t="str">
            <v>BA</v>
          </cell>
          <cell r="I1639" t="str">
            <v>ITALIA</v>
          </cell>
          <cell r="J1639" t="str">
            <v>327-5631802</v>
          </cell>
        </row>
        <row r="1640">
          <cell r="B1640">
            <v>7388</v>
          </cell>
          <cell r="C1640" t="str">
            <v>MARIOTTI STEFANO</v>
          </cell>
          <cell r="D1640" t="str">
            <v>MRTSFN74C07L407 R</v>
          </cell>
          <cell r="E1640" t="str">
            <v>VIA LUIGI CANEPA, 38</v>
          </cell>
          <cell r="F1640">
            <v>9129</v>
          </cell>
          <cell r="G1640" t="str">
            <v>CAGLIARI</v>
          </cell>
          <cell r="H1640" t="str">
            <v>CA</v>
          </cell>
          <cell r="I1640" t="str">
            <v>ITALIA</v>
          </cell>
          <cell r="J1640" t="str">
            <v>328-3060633</v>
          </cell>
        </row>
        <row r="1641">
          <cell r="B1641">
            <v>3247</v>
          </cell>
          <cell r="C1641" t="str">
            <v>MARRA CESARE</v>
          </cell>
          <cell r="D1641" t="str">
            <v>02730260136 MRRCSR82A30B639 K</v>
          </cell>
          <cell r="E1641" t="str">
            <v>VIA BISBINO, 9</v>
          </cell>
          <cell r="F1641">
            <v>22063</v>
          </cell>
          <cell r="G1641" t="str">
            <v>CANTU'</v>
          </cell>
          <cell r="H1641" t="str">
            <v>CO</v>
          </cell>
          <cell r="I1641" t="str">
            <v>ITALIA</v>
          </cell>
          <cell r="J1641" t="str">
            <v xml:space="preserve">031-716150 </v>
          </cell>
        </row>
        <row r="1642">
          <cell r="B1642">
            <v>4229</v>
          </cell>
          <cell r="C1642" t="str">
            <v>MARS ITALIA S.P.A.</v>
          </cell>
          <cell r="D1642" t="str">
            <v>01414760189 01779780152</v>
          </cell>
          <cell r="E1642" t="str">
            <v>VIALE MILANOFIORI  STRADA 2 PALAZZO C3</v>
          </cell>
          <cell r="F1642">
            <v>20090</v>
          </cell>
          <cell r="G1642" t="str">
            <v>ASSAGO</v>
          </cell>
          <cell r="H1642" t="str">
            <v>MI</v>
          </cell>
          <cell r="I1642" t="str">
            <v>ITALIA</v>
          </cell>
          <cell r="J1642" t="str">
            <v>02-5776111</v>
          </cell>
        </row>
        <row r="1643">
          <cell r="B1643">
            <v>4959</v>
          </cell>
          <cell r="C1643" t="str">
            <v>MARTANO PAOLA</v>
          </cell>
          <cell r="D1643" t="str">
            <v>07324710016 MRTPLA59A57C627 T</v>
          </cell>
          <cell r="E1643" t="str">
            <v>VIA S. AGOSTINO, 6</v>
          </cell>
          <cell r="F1643">
            <v>10023</v>
          </cell>
          <cell r="G1643" t="str">
            <v>CHIERI</v>
          </cell>
          <cell r="H1643" t="str">
            <v>TO</v>
          </cell>
          <cell r="I1643" t="str">
            <v>ITALIA</v>
          </cell>
        </row>
        <row r="1644">
          <cell r="B1644">
            <v>7287</v>
          </cell>
          <cell r="C1644" t="str">
            <v>MARTINI GABRIELE</v>
          </cell>
          <cell r="D1644" t="str">
            <v>MRTGRL88T21D458 X</v>
          </cell>
          <cell r="E1644" t="str">
            <v>VIALE LUIGI CADORNA 19</v>
          </cell>
          <cell r="F1644">
            <v>20025</v>
          </cell>
          <cell r="G1644" t="str">
            <v>LEGNANO</v>
          </cell>
          <cell r="H1644" t="str">
            <v>MI</v>
          </cell>
          <cell r="I1644" t="str">
            <v>ITALIA</v>
          </cell>
          <cell r="J1644" t="str">
            <v>377-9937740</v>
          </cell>
        </row>
        <row r="1645">
          <cell r="B1645">
            <v>1437</v>
          </cell>
          <cell r="C1645" t="str">
            <v>MARTINI GIOVANNI</v>
          </cell>
          <cell r="D1645" t="str">
            <v>02444410969 MRTGNN66C17G220 Q</v>
          </cell>
          <cell r="E1645" t="str">
            <v>VIA DELLE ROBINIE, 14 -  FRAZ. PALAZZOLO  MILANESE</v>
          </cell>
          <cell r="F1645">
            <v>20030</v>
          </cell>
          <cell r="G1645" t="str">
            <v>PADERNO  DUGNANO</v>
          </cell>
          <cell r="H1645" t="str">
            <v>MI</v>
          </cell>
          <cell r="I1645" t="str">
            <v>ITALIA</v>
          </cell>
          <cell r="J1645" t="str">
            <v>348-2253771</v>
          </cell>
        </row>
        <row r="1646">
          <cell r="B1646">
            <v>7498</v>
          </cell>
          <cell r="C1646" t="str">
            <v>MARTINO LUCIA  ANNA MARIA</v>
          </cell>
          <cell r="D1646" t="str">
            <v>MRTLNN70B52G487 E</v>
          </cell>
          <cell r="E1646" t="str">
            <v>VIA CAVOUR 37</v>
          </cell>
          <cell r="F1646">
            <v>71010</v>
          </cell>
          <cell r="G1646" t="str">
            <v>PESCHICI</v>
          </cell>
          <cell r="H1646" t="str">
            <v>FG</v>
          </cell>
          <cell r="I1646" t="str">
            <v>ITALIA</v>
          </cell>
          <cell r="J1646" t="str">
            <v>340-9203708</v>
          </cell>
        </row>
        <row r="1647">
          <cell r="B1647">
            <v>6734</v>
          </cell>
          <cell r="C1647" t="str">
            <v>MARVEN VENDING  GRZEGORZ  MARKOWICZ</v>
          </cell>
          <cell r="D1647" t="str">
            <v>PL9451976104</v>
          </cell>
          <cell r="E1647" t="str">
            <v>CHYZNE, 111</v>
          </cell>
          <cell r="F1647">
            <v>34481</v>
          </cell>
          <cell r="G1647" t="str">
            <v>CHYZNE  ( POLONIA)</v>
          </cell>
          <cell r="I1647" t="str">
            <v>POLONIA</v>
          </cell>
          <cell r="J1647"/>
        </row>
        <row r="1648">
          <cell r="B1648">
            <v>6605</v>
          </cell>
          <cell r="C1648" t="str">
            <v>MARYNA  VITMANOVSKA</v>
          </cell>
          <cell r="D1648" t="str">
            <v>07751270963 VTMMYN83C71Z138 V</v>
          </cell>
          <cell r="E1648" t="str">
            <v>VIA SEMPIONE, 5</v>
          </cell>
          <cell r="F1648">
            <v>20900</v>
          </cell>
          <cell r="G1648" t="str">
            <v>MONZA</v>
          </cell>
          <cell r="H1648" t="str">
            <v>MB</v>
          </cell>
          <cell r="I1648" t="str">
            <v>ITALIA</v>
          </cell>
          <cell r="J1648" t="str">
            <v>328-3772549</v>
          </cell>
        </row>
        <row r="1649">
          <cell r="B1649">
            <v>7426</v>
          </cell>
          <cell r="C1649" t="str">
            <v>MARZOTTO NICOLA</v>
          </cell>
          <cell r="D1649" t="str">
            <v>MRZNCL94M10G224 Y</v>
          </cell>
          <cell r="E1649" t="str">
            <v>VIA SAVONAROLA, 118</v>
          </cell>
          <cell r="F1649">
            <v>35137</v>
          </cell>
          <cell r="G1649" t="str">
            <v>PADOVA</v>
          </cell>
          <cell r="H1649" t="str">
            <v>PD</v>
          </cell>
          <cell r="I1649" t="str">
            <v>ITALIA</v>
          </cell>
          <cell r="J1649" t="str">
            <v>340-8003491</v>
          </cell>
        </row>
        <row r="1650">
          <cell r="B1650">
            <v>6671</v>
          </cell>
          <cell r="C1650" t="str">
            <v>MASABA SAGL</v>
          </cell>
          <cell r="D1650" t="str">
            <v>346608544</v>
          </cell>
          <cell r="E1650" t="str">
            <v>VIA SOLE, 29</v>
          </cell>
          <cell r="F1650">
            <v>6942</v>
          </cell>
          <cell r="G1650" t="str">
            <v>SAVOSA</v>
          </cell>
          <cell r="I1650" t="str">
            <v>SVIZZERA</v>
          </cell>
          <cell r="J1650" t="str">
            <v>0041- 916063217</v>
          </cell>
        </row>
        <row r="1651">
          <cell r="B1651">
            <v>7305</v>
          </cell>
          <cell r="C1651" t="str">
            <v>MASCHIO ELISA</v>
          </cell>
          <cell r="D1651" t="str">
            <v>MSCLSE77S66B563 W</v>
          </cell>
          <cell r="E1651" t="str">
            <v>VIA ROSSIGNOLO 35</v>
          </cell>
          <cell r="F1651">
            <v>35011</v>
          </cell>
          <cell r="G1651" t="str">
            <v>CAMPODARSEGO</v>
          </cell>
          <cell r="H1651" t="str">
            <v>PD</v>
          </cell>
          <cell r="I1651" t="str">
            <v>ITALIA</v>
          </cell>
          <cell r="J1651" t="str">
            <v>329-6531347</v>
          </cell>
        </row>
        <row r="1652">
          <cell r="B1652">
            <v>7331</v>
          </cell>
          <cell r="C1652" t="str">
            <v>MASCI IRIS</v>
          </cell>
          <cell r="D1652" t="str">
            <v>MSCRSI74H66H501 B</v>
          </cell>
          <cell r="E1652" t="str">
            <v>VIA CASETTA MATTEI 69</v>
          </cell>
          <cell r="F1652">
            <v>148</v>
          </cell>
          <cell r="G1652" t="str">
            <v>ROMA</v>
          </cell>
          <cell r="H1652" t="str">
            <v>RM</v>
          </cell>
          <cell r="I1652" t="str">
            <v>ITALIA</v>
          </cell>
          <cell r="J1652" t="str">
            <v>335-1348971</v>
          </cell>
        </row>
        <row r="1653">
          <cell r="B1653">
            <v>4933</v>
          </cell>
          <cell r="C1653" t="str">
            <v>MASCIANDARO  SANTINA</v>
          </cell>
          <cell r="D1653" t="str">
            <v>01182250777 MSCSTN81A69F052 U</v>
          </cell>
          <cell r="E1653" t="str">
            <v>VIA CATANZARO, 32</v>
          </cell>
          <cell r="F1653">
            <v>75100</v>
          </cell>
          <cell r="G1653" t="str">
            <v>MATERA</v>
          </cell>
          <cell r="H1653" t="str">
            <v>MT</v>
          </cell>
          <cell r="I1653" t="str">
            <v>ITALIA</v>
          </cell>
          <cell r="J1653" t="str">
            <v>339-2354159</v>
          </cell>
        </row>
        <row r="1654">
          <cell r="B1654">
            <v>7473</v>
          </cell>
          <cell r="C1654" t="str">
            <v>MASELLI CRISTINA</v>
          </cell>
          <cell r="D1654" t="str">
            <v>MSLCST75T43E290J</v>
          </cell>
          <cell r="E1654" t="str">
            <v>VIA MAZZINI 13</v>
          </cell>
          <cell r="F1654">
            <v>18039</v>
          </cell>
          <cell r="G1654" t="str">
            <v>VENTIMIGLIA</v>
          </cell>
          <cell r="H1654" t="str">
            <v>IM</v>
          </cell>
          <cell r="I1654" t="str">
            <v>ITALIA</v>
          </cell>
          <cell r="J1654" t="str">
            <v>342-5290577</v>
          </cell>
        </row>
        <row r="1655">
          <cell r="B1655">
            <v>7180</v>
          </cell>
          <cell r="C1655" t="str">
            <v>MASI GIUSYANA</v>
          </cell>
          <cell r="D1655" t="str">
            <v>MSAGYN99B42H096 V</v>
          </cell>
          <cell r="E1655" t="str">
            <v>VIA GIUSEPPE VERDI,  25/B 3°</v>
          </cell>
          <cell r="F1655">
            <v>70017</v>
          </cell>
          <cell r="G1655" t="str">
            <v>PUTIGNANO</v>
          </cell>
          <cell r="H1655" t="str">
            <v>BA</v>
          </cell>
          <cell r="I1655" t="str">
            <v>ITALIA</v>
          </cell>
          <cell r="J1655" t="str">
            <v>338-6257330</v>
          </cell>
        </row>
        <row r="1656">
          <cell r="B1656">
            <v>4632</v>
          </cell>
          <cell r="C1656" t="str">
            <v>MASKAFE' DI  MARTINELLI A.</v>
          </cell>
          <cell r="D1656" t="str">
            <v>03551250040 MRTNGL62M41L219J</v>
          </cell>
          <cell r="E1656" t="str">
            <v>VIA DUCCIO GALIMBERTI, 70</v>
          </cell>
          <cell r="F1656">
            <v>10040</v>
          </cell>
          <cell r="G1656" t="str">
            <v>PIOBESI  TORINESE</v>
          </cell>
          <cell r="H1656" t="str">
            <v>TO</v>
          </cell>
          <cell r="I1656" t="str">
            <v>ITALIA</v>
          </cell>
          <cell r="J1656" t="str">
            <v>011-9657998</v>
          </cell>
        </row>
        <row r="1657">
          <cell r="B1657">
            <v>4530</v>
          </cell>
          <cell r="C1657" t="str">
            <v>MASMOKA.CAFFE' DI  LAURIOLA MORENO</v>
          </cell>
          <cell r="D1657" t="str">
            <v>10678180018 LRLMRN80R02F335 O</v>
          </cell>
          <cell r="E1657" t="str">
            <v>LUNGO DORA VOGHERA,  132</v>
          </cell>
          <cell r="F1657">
            <v>10153</v>
          </cell>
          <cell r="G1657" t="str">
            <v>TORINO</v>
          </cell>
          <cell r="H1657" t="str">
            <v>TO</v>
          </cell>
          <cell r="I1657" t="str">
            <v>ITALIA</v>
          </cell>
          <cell r="J1657" t="str">
            <v>393-1736625</v>
          </cell>
        </row>
        <row r="1658">
          <cell r="B1658">
            <v>6885</v>
          </cell>
          <cell r="C1658" t="str">
            <v>MASSA RICCARDO</v>
          </cell>
          <cell r="D1658" t="str">
            <v>02410870063 MSSRCR58L07B885 O</v>
          </cell>
          <cell r="E1658" t="str">
            <v>PIAZZA VENEZIA, 25</v>
          </cell>
          <cell r="F1658">
            <v>15033</v>
          </cell>
          <cell r="G1658" t="str">
            <v>CASALE  MONFERRATO</v>
          </cell>
          <cell r="H1658" t="str">
            <v>AL</v>
          </cell>
          <cell r="I1658" t="str">
            <v>ITALIA</v>
          </cell>
          <cell r="J1658" t="str">
            <v>338-2612575</v>
          </cell>
        </row>
        <row r="1659">
          <cell r="B1659">
            <v>10235</v>
          </cell>
          <cell r="C1659" t="str">
            <v>MASSARENTI SRL</v>
          </cell>
          <cell r="E1659" t="str">
            <v>VIA R. MORANDI, 23</v>
          </cell>
          <cell r="F1659">
            <v>44026</v>
          </cell>
          <cell r="G1659" t="str">
            <v>BOSCO MESOLA</v>
          </cell>
          <cell r="H1659" t="str">
            <v>FE</v>
          </cell>
          <cell r="I1659" t="str">
            <v>ITALIA</v>
          </cell>
          <cell r="J1659" t="str">
            <v>053-3794030</v>
          </cell>
        </row>
        <row r="1660">
          <cell r="B1660">
            <v>6943</v>
          </cell>
          <cell r="C1660" t="str">
            <v>MASSERANO MAURO</v>
          </cell>
          <cell r="D1660" t="str">
            <v>02009110038 MSSMRA66C27D09 4F</v>
          </cell>
          <cell r="E1660" t="str">
            <v>VIA PERETTI, 20</v>
          </cell>
          <cell r="F1660">
            <v>28075</v>
          </cell>
          <cell r="G1660" t="str">
            <v>GRIGNASCO</v>
          </cell>
          <cell r="H1660" t="str">
            <v>NO</v>
          </cell>
          <cell r="I1660" t="str">
            <v>ITALIA</v>
          </cell>
          <cell r="J1660" t="str">
            <v>348-5701744</v>
          </cell>
        </row>
        <row r="1661">
          <cell r="B1661">
            <v>7217</v>
          </cell>
          <cell r="C1661" t="str">
            <v>MASSERDOTTI  FABIO</v>
          </cell>
          <cell r="D1661" t="str">
            <v>MSSFBA85A09D940 Y</v>
          </cell>
          <cell r="E1661" t="str">
            <v>VIA SAN ROCCO 48</v>
          </cell>
          <cell r="F1661">
            <v>25080</v>
          </cell>
          <cell r="G1661" t="str">
            <v>MAZZANO</v>
          </cell>
          <cell r="H1661" t="str">
            <v>BS</v>
          </cell>
          <cell r="I1661" t="str">
            <v>ITALIA</v>
          </cell>
          <cell r="J1661" t="str">
            <v>347-0041637</v>
          </cell>
        </row>
        <row r="1662">
          <cell r="B1662">
            <v>4973</v>
          </cell>
          <cell r="C1662" t="str">
            <v>MASTER COFFEE S.R. L.</v>
          </cell>
          <cell r="D1662" t="str">
            <v>01446250118 01446250118</v>
          </cell>
          <cell r="E1662" t="str">
            <v>VIA FRATELLI ROSSELLI, 20</v>
          </cell>
          <cell r="F1662">
            <v>19021</v>
          </cell>
          <cell r="G1662" t="str">
            <v>ARCOLA</v>
          </cell>
          <cell r="H1662" t="str">
            <v>SP</v>
          </cell>
          <cell r="I1662" t="str">
            <v>ITALIA</v>
          </cell>
          <cell r="J1662" t="str">
            <v xml:space="preserve">0187-986505 </v>
          </cell>
        </row>
        <row r="1663">
          <cell r="B1663">
            <v>7234</v>
          </cell>
          <cell r="C1663" t="str">
            <v>MASTER TRUCK S.A. S. DI LORIS  BOLDINI &amp; Co</v>
          </cell>
          <cell r="D1663" t="str">
            <v>03580710121 03580710121</v>
          </cell>
          <cell r="E1663" t="str">
            <v>VIA VENEZIA, 14</v>
          </cell>
          <cell r="F1663">
            <v>21050</v>
          </cell>
          <cell r="G1663" t="str">
            <v>CAIRATE</v>
          </cell>
          <cell r="H1663" t="str">
            <v>VA</v>
          </cell>
          <cell r="I1663" t="str">
            <v>ITALIA</v>
          </cell>
          <cell r="J1663" t="str">
            <v>347-8132333</v>
          </cell>
        </row>
        <row r="1664">
          <cell r="B1664">
            <v>8818</v>
          </cell>
          <cell r="C1664" t="str">
            <v>MATARINI DI CORRADINI PAOLA</v>
          </cell>
          <cell r="E1664" t="str">
            <v>VIA GONZAGA, 16</v>
          </cell>
          <cell r="F1664">
            <v>42017</v>
          </cell>
          <cell r="G1664" t="str">
            <v>NOVELLARA</v>
          </cell>
          <cell r="H1664" t="str">
            <v>RE</v>
          </cell>
          <cell r="I1664" t="str">
            <v>ITALIA</v>
          </cell>
          <cell r="J1664" t="str">
            <v>331-8225188</v>
          </cell>
        </row>
        <row r="1665">
          <cell r="B1665">
            <v>7057</v>
          </cell>
          <cell r="C1665" t="str">
            <v>MATARRELLI LUCA</v>
          </cell>
          <cell r="D1665" t="str">
            <v>MTRLCU79H21F839 S</v>
          </cell>
          <cell r="E1665" t="str">
            <v>VIA PAOLO DIACONO, 24</v>
          </cell>
          <cell r="F1665">
            <v>33074</v>
          </cell>
          <cell r="G1665" t="str">
            <v>FONTANAFREDDA</v>
          </cell>
          <cell r="H1665" t="str">
            <v>PN</v>
          </cell>
          <cell r="I1665" t="str">
            <v>ITALIA</v>
          </cell>
          <cell r="J1665" t="str">
            <v>348-9054795</v>
          </cell>
        </row>
        <row r="1666">
          <cell r="B1666">
            <v>10096</v>
          </cell>
          <cell r="C1666" t="str">
            <v>MATARRESE SERVICE S.R.L.</v>
          </cell>
          <cell r="E1666" t="str">
            <v>VIA CRASSO LICINO</v>
          </cell>
          <cell r="F1666">
            <v>76123</v>
          </cell>
          <cell r="G1666" t="str">
            <v>ANDRIA</v>
          </cell>
          <cell r="H1666" t="str">
            <v>BT</v>
          </cell>
          <cell r="I1666" t="str">
            <v>ITALIA</v>
          </cell>
          <cell r="J1666" t="str">
            <v>0883-593775</v>
          </cell>
        </row>
        <row r="1667">
          <cell r="B1667">
            <v>2042</v>
          </cell>
          <cell r="C1667" t="str">
            <v>MATIC</v>
          </cell>
          <cell r="D1667" t="str">
            <v>03382130155 03382130155</v>
          </cell>
          <cell r="E1667" t="str">
            <v>VIA VITTOR PISANI, 28</v>
          </cell>
          <cell r="F1667">
            <v>20124</v>
          </cell>
          <cell r="G1667" t="str">
            <v>MILANO</v>
          </cell>
          <cell r="H1667" t="str">
            <v>MI</v>
          </cell>
          <cell r="I1667" t="str">
            <v>ITALIA</v>
          </cell>
          <cell r="J1667" t="str">
            <v xml:space="preserve">0362-582866 </v>
          </cell>
        </row>
        <row r="1668">
          <cell r="B1668">
            <v>6565</v>
          </cell>
          <cell r="C1668" t="str">
            <v>MATIC DI  GRAZIANA  TARANTINO</v>
          </cell>
          <cell r="D1668" t="str">
            <v>10110270963 TRNGZN67E66L049 A</v>
          </cell>
          <cell r="E1668" t="str">
            <v>VIA LORENTEGGIO, 24</v>
          </cell>
          <cell r="F1668">
            <v>20146</v>
          </cell>
          <cell r="G1668" t="str">
            <v>MILANO</v>
          </cell>
          <cell r="H1668" t="str">
            <v>MI</v>
          </cell>
          <cell r="I1668" t="str">
            <v>ITALIA</v>
          </cell>
          <cell r="J1668" t="str">
            <v xml:space="preserve">02-82872325 </v>
          </cell>
        </row>
        <row r="1669">
          <cell r="B1669">
            <v>3818</v>
          </cell>
          <cell r="C1669" t="str">
            <v>MATICA SERVICE S. A.S. DI VICENZI  LORIS &amp; C.</v>
          </cell>
          <cell r="D1669" t="str">
            <v>10348680017 10348680017</v>
          </cell>
          <cell r="E1669" t="str">
            <v>VIA SAN DONATO, 82</v>
          </cell>
          <cell r="F1669">
            <v>10144</v>
          </cell>
          <cell r="G1669" t="str">
            <v>TORINO</v>
          </cell>
          <cell r="H1669" t="str">
            <v>TO</v>
          </cell>
          <cell r="I1669" t="str">
            <v>ITALIA</v>
          </cell>
          <cell r="J1669" t="str">
            <v>333-3564616</v>
          </cell>
        </row>
        <row r="1670">
          <cell r="B1670">
            <v>4371</v>
          </cell>
          <cell r="C1670" t="str">
            <v>MATIK GROUP S. R.L.</v>
          </cell>
          <cell r="D1670" t="str">
            <v>03491970046 03491970046</v>
          </cell>
          <cell r="E1670" t="str">
            <v>VIA DON ORIONE, 134</v>
          </cell>
          <cell r="F1670">
            <v>12042</v>
          </cell>
          <cell r="G1670" t="str">
            <v>BRA</v>
          </cell>
          <cell r="H1670" t="str">
            <v>CN</v>
          </cell>
          <cell r="I1670" t="str">
            <v>ITALIA</v>
          </cell>
          <cell r="J1670" t="str">
            <v>0172-457371</v>
          </cell>
        </row>
        <row r="1671">
          <cell r="B1671">
            <v>4601</v>
          </cell>
          <cell r="C1671" t="str">
            <v>MATTEO SCHINGARO</v>
          </cell>
          <cell r="D1671" t="str">
            <v>02330450061 SCHMTT89R27B885 Q</v>
          </cell>
          <cell r="E1671" t="str">
            <v>VIA TREVIGI, 33</v>
          </cell>
          <cell r="F1671">
            <v>15033</v>
          </cell>
          <cell r="G1671" t="str">
            <v>CASALE  MONFERRATO</v>
          </cell>
          <cell r="H1671" t="str">
            <v>AL</v>
          </cell>
          <cell r="I1671" t="str">
            <v>ITALIA</v>
          </cell>
          <cell r="J1671" t="str">
            <v>328-8255214</v>
          </cell>
        </row>
        <row r="1672">
          <cell r="B1672">
            <v>2898</v>
          </cell>
          <cell r="C1672" t="str">
            <v>MAURI SERVICE S.R. L.</v>
          </cell>
          <cell r="D1672" t="str">
            <v>03044460131 03044460131</v>
          </cell>
          <cell r="E1672" t="str">
            <v>VIA ALDO MORO, 23</v>
          </cell>
          <cell r="F1672">
            <v>22066</v>
          </cell>
          <cell r="G1672" t="str">
            <v>MARIANO  COMENSE</v>
          </cell>
          <cell r="H1672" t="str">
            <v>CO</v>
          </cell>
          <cell r="I1672" t="str">
            <v>ITALIA</v>
          </cell>
          <cell r="J1672" t="str">
            <v>031-756530</v>
          </cell>
        </row>
        <row r="1673">
          <cell r="B1673">
            <v>7222</v>
          </cell>
          <cell r="C1673" t="str">
            <v>MAURO SANNA</v>
          </cell>
          <cell r="D1673" t="str">
            <v>03008520128</v>
          </cell>
          <cell r="E1673" t="str">
            <v>VIA OMBRONE, 15</v>
          </cell>
          <cell r="F1673">
            <v>21057</v>
          </cell>
          <cell r="G1673" t="str">
            <v>OLGIATE OLONA</v>
          </cell>
          <cell r="H1673" t="str">
            <v>VA</v>
          </cell>
          <cell r="I1673" t="str">
            <v>ITALIA</v>
          </cell>
          <cell r="J1673" t="str">
            <v>331-375491</v>
          </cell>
        </row>
        <row r="1674">
          <cell r="B1674">
            <v>4791</v>
          </cell>
          <cell r="C1674" t="str">
            <v>MAUSITA LLC</v>
          </cell>
          <cell r="D1674" t="str">
            <v>02572090187 02572090187</v>
          </cell>
          <cell r="E1674" t="str">
            <v>VIA LEONARDO DA VINCI, 3</v>
          </cell>
          <cell r="F1674">
            <v>27036</v>
          </cell>
          <cell r="G1674" t="str">
            <v>MORTARA</v>
          </cell>
          <cell r="H1674" t="str">
            <v>PV</v>
          </cell>
          <cell r="I1674" t="str">
            <v>ITALIA</v>
          </cell>
          <cell r="J1674" t="str">
            <v>335-8158849</v>
          </cell>
        </row>
        <row r="1675">
          <cell r="B1675">
            <v>7084</v>
          </cell>
          <cell r="C1675" t="str">
            <v>MAVI CIALDE E  CAPSULE DI  VIRGINIA PRESTIA</v>
          </cell>
          <cell r="D1675" t="str">
            <v>02469800995 PRSVGN80M58D969 L</v>
          </cell>
          <cell r="E1675" t="str">
            <v>VIA DANTE GAETANO  STORACE, 16/R</v>
          </cell>
          <cell r="F1675">
            <v>16100</v>
          </cell>
          <cell r="G1675" t="str">
            <v>GENOVA</v>
          </cell>
          <cell r="H1675" t="str">
            <v>GE</v>
          </cell>
          <cell r="I1675" t="str">
            <v>ITALIA</v>
          </cell>
          <cell r="J1675" t="str">
            <v>392-9138179</v>
          </cell>
        </row>
        <row r="1676">
          <cell r="B1676">
            <v>1835</v>
          </cell>
          <cell r="C1676" t="str">
            <v>MAX COFFEE DI  CARAMASCHI  MASSIMILIANO</v>
          </cell>
          <cell r="D1676" t="str">
            <v>02517710121 CRMMSM76H09I819 E</v>
          </cell>
          <cell r="E1676" t="str">
            <v>VIA RONCHI, 108</v>
          </cell>
          <cell r="F1676">
            <v>21019</v>
          </cell>
          <cell r="G1676" t="str">
            <v>SOMMA  LOMBARDO</v>
          </cell>
          <cell r="H1676" t="str">
            <v>VA</v>
          </cell>
          <cell r="I1676" t="str">
            <v>ITALIA</v>
          </cell>
          <cell r="J1676" t="str">
            <v>339-2767227</v>
          </cell>
        </row>
        <row r="1677">
          <cell r="B1677">
            <v>3855</v>
          </cell>
          <cell r="C1677" t="str">
            <v>MAX PRATO DI  PRATO  MASSIMILIANO</v>
          </cell>
          <cell r="D1677" t="str">
            <v>01582740096 PRTMSM71L09B369 S</v>
          </cell>
          <cell r="E1677" t="str">
            <v>LOC. PORRI, 47</v>
          </cell>
          <cell r="F1677">
            <v>17058</v>
          </cell>
          <cell r="G1677" t="str">
            <v>PIANA CRIXIA</v>
          </cell>
          <cell r="H1677" t="str">
            <v>SV</v>
          </cell>
          <cell r="I1677" t="str">
            <v>ITALIA</v>
          </cell>
          <cell r="J1677" t="str">
            <v>346-6304114</v>
          </cell>
        </row>
        <row r="1678">
          <cell r="B1678">
            <v>6009</v>
          </cell>
          <cell r="C1678" t="str">
            <v>MAX SERVICE DI  MUO' GIORGIO</v>
          </cell>
          <cell r="D1678" t="str">
            <v>00987160017 MUOGRG50H28I703 W</v>
          </cell>
          <cell r="E1678" t="str">
            <v>VIA BOCCACCIO, 11</v>
          </cell>
          <cell r="F1678">
            <v>10036</v>
          </cell>
          <cell r="G1678" t="str">
            <v>SETTIMO   TORINESE</v>
          </cell>
          <cell r="H1678" t="str">
            <v>TO</v>
          </cell>
          <cell r="I1678" t="str">
            <v>ITALIA</v>
          </cell>
          <cell r="J1678" t="str">
            <v xml:space="preserve">011-19704647 </v>
          </cell>
        </row>
        <row r="1679">
          <cell r="B1679">
            <v>2883</v>
          </cell>
          <cell r="C1679" t="str">
            <v>MAXER DI TULLIO  MARZOLINO</v>
          </cell>
          <cell r="D1679" t="str">
            <v>01473880092 MRZTLL57A20L013G</v>
          </cell>
          <cell r="E1679" t="str">
            <v>CORSO EUROPA, 13/27</v>
          </cell>
          <cell r="F1679">
            <v>17052</v>
          </cell>
          <cell r="G1679" t="str">
            <v>BORGHETTO  SANTO SPIRITO</v>
          </cell>
          <cell r="H1679" t="str">
            <v>SV</v>
          </cell>
          <cell r="I1679" t="str">
            <v>ITALIA</v>
          </cell>
          <cell r="J1679" t="str">
            <v xml:space="preserve">0182-940950 </v>
          </cell>
        </row>
        <row r="1680">
          <cell r="B1680">
            <v>4935</v>
          </cell>
          <cell r="C1680" t="str">
            <v>MAXI SPECIAL TOUR  DI LOMBARDI H. MAXIMILIANO</v>
          </cell>
          <cell r="D1680" t="str">
            <v>03564010043 LMBHMX79R16Z600 Z</v>
          </cell>
          <cell r="E1680" t="str">
            <v>VIA CAVE, 169/A</v>
          </cell>
          <cell r="F1680">
            <v>12031</v>
          </cell>
          <cell r="G1680" t="str">
            <v>BAGNOLO  PIEMONTE</v>
          </cell>
          <cell r="H1680" t="str">
            <v>CN</v>
          </cell>
          <cell r="I1680" t="str">
            <v>ITALIA</v>
          </cell>
          <cell r="J1680" t="str">
            <v>320-1593386</v>
          </cell>
        </row>
        <row r="1681">
          <cell r="B1681">
            <v>812</v>
          </cell>
          <cell r="C1681" t="str">
            <v>MAXIM CAFFE' S.N.C. DI DARIO BOT &amp; C.</v>
          </cell>
          <cell r="D1681" t="str">
            <v>01771080023 01771080023</v>
          </cell>
          <cell r="E1681" t="str">
            <v>VIA ALBA, 47</v>
          </cell>
          <cell r="F1681">
            <v>13045</v>
          </cell>
          <cell r="G1681" t="str">
            <v>GATTINARA</v>
          </cell>
          <cell r="H1681" t="str">
            <v>VC</v>
          </cell>
          <cell r="I1681" t="str">
            <v>ITALIA</v>
          </cell>
          <cell r="J1681" t="str">
            <v>0163-833241</v>
          </cell>
        </row>
        <row r="1682">
          <cell r="B1682">
            <v>7332</v>
          </cell>
          <cell r="C1682" t="str">
            <v>MAZZALI FAUSTO</v>
          </cell>
          <cell r="D1682" t="str">
            <v>MZZFST62A22D934 H</v>
          </cell>
          <cell r="E1682" t="str">
            <v>VIA TORRICELLI 18/20</v>
          </cell>
          <cell r="F1682">
            <v>42027</v>
          </cell>
          <cell r="G1682" t="str">
            <v>MONTECCHIO  EMILIA</v>
          </cell>
          <cell r="H1682" t="str">
            <v>RE</v>
          </cell>
          <cell r="I1682" t="str">
            <v>ITALIA</v>
          </cell>
          <cell r="J1682" t="str">
            <v>340-4082465</v>
          </cell>
        </row>
        <row r="1683">
          <cell r="B1683">
            <v>7065</v>
          </cell>
          <cell r="C1683" t="str">
            <v>MAZZARIELLO  MICHELE</v>
          </cell>
          <cell r="D1683" t="str">
            <v>MZZMHL83H15A509 L</v>
          </cell>
          <cell r="E1683" t="str">
            <v>STRADA SALUGGIA, 30</v>
          </cell>
          <cell r="F1683">
            <v>13044</v>
          </cell>
          <cell r="G1683" t="str">
            <v>CRESCENTINO</v>
          </cell>
          <cell r="H1683" t="str">
            <v>VC</v>
          </cell>
          <cell r="I1683" t="str">
            <v>ITALIA</v>
          </cell>
          <cell r="J1683" t="str">
            <v>334-7377362</v>
          </cell>
        </row>
        <row r="1684">
          <cell r="B1684">
            <v>4352</v>
          </cell>
          <cell r="C1684" t="str">
            <v>MAZZOLENI MARCO</v>
          </cell>
          <cell r="E1684" t="str">
            <v>VIA DON ZANCHETTA,8</v>
          </cell>
          <cell r="F1684">
            <v>21070</v>
          </cell>
          <cell r="G1684" t="str">
            <v>CARBONATE</v>
          </cell>
          <cell r="H1684" t="str">
            <v>CO</v>
          </cell>
          <cell r="I1684" t="str">
            <v>ITALIA</v>
          </cell>
          <cell r="J1684" t="str">
            <v>331-2597266</v>
          </cell>
        </row>
        <row r="1685">
          <cell r="B1685">
            <v>6799</v>
          </cell>
          <cell r="C1685" t="str">
            <v>MCC VENDING S.R.L.</v>
          </cell>
          <cell r="D1685" t="str">
            <v>02856560921</v>
          </cell>
          <cell r="E1685" t="str">
            <v>VIA ENRICO MARONGIU,  31</v>
          </cell>
          <cell r="F1685">
            <v>9026</v>
          </cell>
          <cell r="G1685" t="str">
            <v>SAN SPERATE</v>
          </cell>
          <cell r="H1685" t="str">
            <v>CA</v>
          </cell>
          <cell r="I1685" t="str">
            <v>ITALIA</v>
          </cell>
          <cell r="J1685" t="str">
            <v>340-8913057</v>
          </cell>
        </row>
        <row r="1686">
          <cell r="B1686">
            <v>4115</v>
          </cell>
          <cell r="C1686" t="str">
            <v>MCF MATIC DI  VILLANI FULVIO</v>
          </cell>
          <cell r="D1686" t="str">
            <v>06976140969 VLLFLV80T30F205L</v>
          </cell>
          <cell r="E1686" t="str">
            <v>VIA TRANSIMENO, 48</v>
          </cell>
          <cell r="F1686">
            <v>20126</v>
          </cell>
          <cell r="G1686" t="str">
            <v>MILANO</v>
          </cell>
          <cell r="H1686" t="str">
            <v>MI</v>
          </cell>
          <cell r="I1686" t="str">
            <v>ITALIA</v>
          </cell>
          <cell r="J1686" t="str">
            <v>349-4905423</v>
          </cell>
        </row>
        <row r="1687">
          <cell r="B1687">
            <v>4579</v>
          </cell>
          <cell r="C1687" t="str">
            <v>MCWASHING S.R.L.</v>
          </cell>
          <cell r="D1687" t="str">
            <v>02134540992</v>
          </cell>
          <cell r="E1687" t="str">
            <v>VICO DELLA CROCE  BIANCA, 10R</v>
          </cell>
          <cell r="F1687">
            <v>16124</v>
          </cell>
          <cell r="G1687" t="str">
            <v>GENOVA</v>
          </cell>
          <cell r="H1687" t="str">
            <v>GE</v>
          </cell>
          <cell r="I1687" t="str">
            <v>ITALIA</v>
          </cell>
          <cell r="J1687" t="str">
            <v>347-1323277</v>
          </cell>
        </row>
        <row r="1688">
          <cell r="B1688">
            <v>1926</v>
          </cell>
          <cell r="C1688" t="str">
            <v>MD CAFFE' S.N.C.</v>
          </cell>
          <cell r="D1688" t="str">
            <v>02842620920 02842620920</v>
          </cell>
          <cell r="E1688" t="str">
            <v>ZONA INDUSTRIALE  STRADA C10</v>
          </cell>
          <cell r="F1688">
            <v>9039</v>
          </cell>
          <cell r="G1688" t="str">
            <v>VILLACIDRO</v>
          </cell>
          <cell r="H1688" t="str">
            <v>SU</v>
          </cell>
          <cell r="I1688" t="str">
            <v>ITALIA</v>
          </cell>
          <cell r="J1688" t="str">
            <v xml:space="preserve">070-9311106 </v>
          </cell>
        </row>
        <row r="1689">
          <cell r="B1689">
            <v>2935</v>
          </cell>
          <cell r="C1689" t="str">
            <v>MDA S.A.S. DI  DENISE MOLINAR  ROET &amp; C.</v>
          </cell>
          <cell r="D1689" t="str">
            <v>09668250013 09668250013</v>
          </cell>
          <cell r="E1689" t="str">
            <v>VIA MARINO FERRARO 21</v>
          </cell>
          <cell r="F1689">
            <v>10077</v>
          </cell>
          <cell r="G1689" t="str">
            <v>SAN MAURIZIO  CANAVESE</v>
          </cell>
          <cell r="H1689" t="str">
            <v>TO</v>
          </cell>
          <cell r="I1689" t="str">
            <v>ITALIA</v>
          </cell>
          <cell r="J1689" t="str">
            <v>011-9277350</v>
          </cell>
        </row>
        <row r="1690">
          <cell r="B1690">
            <v>4556</v>
          </cell>
          <cell r="C1690" t="str">
            <v>ME CAFE' S.R.L.</v>
          </cell>
          <cell r="D1690" t="str">
            <v>11163710012 11163710012</v>
          </cell>
          <cell r="E1690" t="str">
            <v>VIA ROMA, 26/4</v>
          </cell>
          <cell r="F1690">
            <v>10040</v>
          </cell>
          <cell r="G1690" t="str">
            <v>DRUENTO</v>
          </cell>
          <cell r="H1690" t="str">
            <v>TO</v>
          </cell>
          <cell r="I1690" t="str">
            <v>ITALIA</v>
          </cell>
          <cell r="J1690" t="str">
            <v>340-4892907</v>
          </cell>
        </row>
        <row r="1691">
          <cell r="B1691">
            <v>7362</v>
          </cell>
          <cell r="C1691" t="str">
            <v>MEDCAFFE' SRL</v>
          </cell>
          <cell r="D1691" t="str">
            <v>04548041211</v>
          </cell>
          <cell r="E1691" t="str">
            <v>VIA LUCA GIORDANO, 15</v>
          </cell>
          <cell r="F1691">
            <v>80127</v>
          </cell>
          <cell r="G1691" t="str">
            <v>NAPOLI</v>
          </cell>
          <cell r="H1691" t="str">
            <v>NA</v>
          </cell>
          <cell r="I1691" t="str">
            <v>ITALIA</v>
          </cell>
          <cell r="J1691" t="str">
            <v>0823-696205</v>
          </cell>
        </row>
        <row r="1692">
          <cell r="B1692">
            <v>6795</v>
          </cell>
          <cell r="C1692" t="str">
            <v>MEDIDUE S.A.S. DI  MEDICI ANTONIO &amp;  C.</v>
          </cell>
          <cell r="D1692" t="str">
            <v>12689520158 12689520158</v>
          </cell>
          <cell r="E1692" t="str">
            <v>VIA CADUTI BOLLATESI,  42</v>
          </cell>
          <cell r="F1692">
            <v>20021</v>
          </cell>
          <cell r="G1692" t="str">
            <v>BOLLATE</v>
          </cell>
          <cell r="H1692" t="str">
            <v>MI</v>
          </cell>
          <cell r="I1692" t="str">
            <v>ITALIA</v>
          </cell>
          <cell r="J1692" t="str">
            <v>02-38301521</v>
          </cell>
        </row>
        <row r="1693">
          <cell r="B1693">
            <v>4805</v>
          </cell>
          <cell r="C1693" t="str">
            <v>MEDITERRANEO  VENDING DI  PAGANO RAFFAELE</v>
          </cell>
          <cell r="D1693" t="str">
            <v>03068200736</v>
          </cell>
          <cell r="E1693" t="str">
            <v>VIA VITTORIO EMANUELE,  26/A</v>
          </cell>
          <cell r="F1693">
            <v>74020</v>
          </cell>
          <cell r="G1693" t="str">
            <v>S. MARZANO DI  S.G</v>
          </cell>
          <cell r="H1693" t="str">
            <v>TA</v>
          </cell>
          <cell r="I1693" t="str">
            <v>ITALIA</v>
          </cell>
        </row>
        <row r="1694">
          <cell r="B1694">
            <v>7255</v>
          </cell>
          <cell r="C1694" t="str">
            <v>MEGASSINI  VITTORIO</v>
          </cell>
          <cell r="D1694" t="str">
            <v>MGSVTR56P16A245 S</v>
          </cell>
          <cell r="E1694" t="str">
            <v>VIA PIETRO MANCINI N.63</v>
          </cell>
          <cell r="F1694">
            <v>19013</v>
          </cell>
          <cell r="G1694" t="str">
            <v>DEIVA MARINA</v>
          </cell>
          <cell r="H1694" t="str">
            <v>SP</v>
          </cell>
          <cell r="I1694" t="str">
            <v>ITALIA</v>
          </cell>
          <cell r="J1694" t="str">
            <v>347-5201755</v>
          </cell>
        </row>
        <row r="1695">
          <cell r="B1695">
            <v>4350</v>
          </cell>
          <cell r="C1695" t="str">
            <v>MENDIZZA S.R.L.</v>
          </cell>
          <cell r="D1695" t="str">
            <v>01499900023 01499900023</v>
          </cell>
          <cell r="E1695" t="str">
            <v>VIA CARDUCCI, 14</v>
          </cell>
          <cell r="F1695">
            <v>13875</v>
          </cell>
          <cell r="G1695" t="str">
            <v>PONDERANO</v>
          </cell>
          <cell r="H1695" t="str">
            <v>BI</v>
          </cell>
          <cell r="I1695" t="str">
            <v>ITALIA</v>
          </cell>
          <cell r="J1695" t="str">
            <v>015-541233</v>
          </cell>
        </row>
        <row r="1696">
          <cell r="B1696">
            <v>4748</v>
          </cell>
          <cell r="C1696" t="str">
            <v>MENEGHELLI ANDREA</v>
          </cell>
          <cell r="D1696" t="str">
            <v>04242120238 04242120238</v>
          </cell>
          <cell r="E1696" t="str">
            <v>VIA OLMO, 6D</v>
          </cell>
          <cell r="F1696">
            <v>37068</v>
          </cell>
          <cell r="G1696" t="str">
            <v>VIGASIO</v>
          </cell>
          <cell r="H1696" t="str">
            <v>VR</v>
          </cell>
          <cell r="I1696" t="str">
            <v>ITALIA</v>
          </cell>
          <cell r="J1696" t="str">
            <v>348-4882855</v>
          </cell>
        </row>
        <row r="1697">
          <cell r="B1697">
            <v>7192</v>
          </cell>
          <cell r="C1697" t="str">
            <v>MENICHELLI  ANTONELLA</v>
          </cell>
          <cell r="D1697" t="str">
            <v>01849500978</v>
          </cell>
          <cell r="E1697" t="str">
            <v>VIA MARINO, 16</v>
          </cell>
          <cell r="F1697">
            <v>59100</v>
          </cell>
          <cell r="G1697" t="str">
            <v>PRATO</v>
          </cell>
          <cell r="H1697" t="str">
            <v>PO</v>
          </cell>
          <cell r="I1697" t="str">
            <v>ITALIA</v>
          </cell>
          <cell r="J1697" t="str">
            <v>0574-623543</v>
          </cell>
        </row>
        <row r="1698">
          <cell r="B1698">
            <v>7464</v>
          </cell>
          <cell r="C1698" t="str">
            <v>MENICHETTI LUIGI</v>
          </cell>
          <cell r="D1698" t="str">
            <v>MNCLGU64S01M082 J</v>
          </cell>
          <cell r="E1698" t="str">
            <v>VIALE IGEA 1</v>
          </cell>
          <cell r="F1698">
            <v>1016</v>
          </cell>
          <cell r="G1698" t="str">
            <v>TARQUINIA</v>
          </cell>
          <cell r="H1698" t="str">
            <v>VT</v>
          </cell>
          <cell r="I1698" t="str">
            <v>ITALIA</v>
          </cell>
          <cell r="J1698" t="str">
            <v>334-6166971</v>
          </cell>
        </row>
        <row r="1699">
          <cell r="B1699">
            <v>4808</v>
          </cell>
          <cell r="C1699" t="str">
            <v>MERLINI DOTT.  GIUSEPPE</v>
          </cell>
          <cell r="D1699" t="str">
            <v>00129010120</v>
          </cell>
          <cell r="E1699" t="str">
            <v>VIALE DUCA D'AOSTA, 3</v>
          </cell>
          <cell r="F1699">
            <v>21052</v>
          </cell>
          <cell r="G1699" t="str">
            <v>BUSTO ARISIZIO</v>
          </cell>
          <cell r="H1699" t="str">
            <v>VA</v>
          </cell>
          <cell r="I1699" t="str">
            <v>ITALIA</v>
          </cell>
          <cell r="J1699" t="str">
            <v>0331-631195</v>
          </cell>
        </row>
        <row r="1700">
          <cell r="B1700">
            <v>6992</v>
          </cell>
          <cell r="C1700" t="str">
            <v>MERLINI ROBERTA</v>
          </cell>
          <cell r="D1700" t="str">
            <v>MRLRRT70C49M102 R</v>
          </cell>
          <cell r="E1700" t="str">
            <v>VIA PASCOLI, 6</v>
          </cell>
          <cell r="F1700">
            <v>20851</v>
          </cell>
          <cell r="G1700" t="str">
            <v>LISSONE</v>
          </cell>
          <cell r="H1700" t="str">
            <v>MB</v>
          </cell>
          <cell r="I1700" t="str">
            <v>ITALIA</v>
          </cell>
          <cell r="J1700" t="str">
            <v>338-1530700</v>
          </cell>
        </row>
        <row r="1701">
          <cell r="B1701">
            <v>6633</v>
          </cell>
          <cell r="C1701" t="str">
            <v>MERY CAFFE' DI  IACUANIELLO  MARIANNA</v>
          </cell>
          <cell r="D1701" t="str">
            <v>02652810025 CNLMNN83A63F799 Z</v>
          </cell>
          <cell r="E1701" t="str">
            <v>CORSO AMEDEO DE REGE, 70</v>
          </cell>
          <cell r="F1701">
            <v>13100</v>
          </cell>
          <cell r="G1701" t="str">
            <v>VERCELLI</v>
          </cell>
          <cell r="H1701" t="str">
            <v>VC</v>
          </cell>
          <cell r="I1701" t="str">
            <v>ITALIA</v>
          </cell>
          <cell r="J1701" t="str">
            <v>329-9272767</v>
          </cell>
        </row>
        <row r="1702">
          <cell r="B1702">
            <v>8021</v>
          </cell>
          <cell r="C1702" t="str">
            <v>MERY SMOKE &amp; COFFEE DI FERRARIO MARIA ROSA</v>
          </cell>
          <cell r="E1702" t="str">
            <v>VIA ROMA, 37</v>
          </cell>
          <cell r="F1702">
            <v>25030</v>
          </cell>
          <cell r="G1702" t="str">
            <v>TRAVAGLIATO</v>
          </cell>
          <cell r="H1702" t="str">
            <v>BS</v>
          </cell>
          <cell r="I1702" t="str">
            <v>ITALIA</v>
          </cell>
          <cell r="J1702" t="str">
            <v>347-7616876</v>
          </cell>
        </row>
        <row r="1703">
          <cell r="B1703">
            <v>3383</v>
          </cell>
          <cell r="C1703" t="str">
            <v>MESSERE  ROMINA</v>
          </cell>
          <cell r="D1703" t="str">
            <v>06248720960 MSSRMN70A53F704 B</v>
          </cell>
          <cell r="E1703" t="str">
            <v>VIA CORTE 2° GAETA, 8</v>
          </cell>
          <cell r="F1703">
            <v>20031</v>
          </cell>
          <cell r="G1703" t="str">
            <v>CESANO  MADERNO</v>
          </cell>
          <cell r="H1703" t="str">
            <v>MI</v>
          </cell>
          <cell r="I1703" t="str">
            <v>ITALIA</v>
          </cell>
          <cell r="J1703" t="str">
            <v>338-2271768</v>
          </cell>
        </row>
        <row r="1704">
          <cell r="B1704">
            <v>1776</v>
          </cell>
          <cell r="C1704" t="str">
            <v>METANO LEGNANO S. N.C. DI CIRIGNANO  CLAUDIO &amp; C.</v>
          </cell>
          <cell r="D1704" t="str">
            <v>10684120156 10684120156</v>
          </cell>
          <cell r="E1704" t="str">
            <v>VIA PERGOLESI, 11</v>
          </cell>
          <cell r="F1704">
            <v>20025</v>
          </cell>
          <cell r="G1704" t="str">
            <v>LEGNANO</v>
          </cell>
          <cell r="H1704" t="str">
            <v>MI</v>
          </cell>
          <cell r="I1704" t="str">
            <v>ITALIA</v>
          </cell>
          <cell r="J1704" t="str">
            <v>0331-504437</v>
          </cell>
        </row>
        <row r="1705">
          <cell r="B1705">
            <v>5810</v>
          </cell>
          <cell r="C1705" t="str">
            <v>METHODO S.R.L.</v>
          </cell>
          <cell r="D1705" t="str">
            <v>06221910018 01597450608</v>
          </cell>
          <cell r="E1705" t="str">
            <v>VIA DEI LAVANDAI, 30/38</v>
          </cell>
          <cell r="F1705">
            <v>10156</v>
          </cell>
          <cell r="G1705" t="str">
            <v>TORINO</v>
          </cell>
          <cell r="H1705" t="str">
            <v>TO</v>
          </cell>
          <cell r="I1705" t="str">
            <v>ITALIA</v>
          </cell>
          <cell r="J1705" t="str">
            <v>011-2238723</v>
          </cell>
        </row>
        <row r="1706">
          <cell r="B1706">
            <v>4453</v>
          </cell>
          <cell r="C1706" t="str">
            <v>MG CAFFE'</v>
          </cell>
          <cell r="D1706" t="str">
            <v>7567183823428</v>
          </cell>
          <cell r="E1706" t="str">
            <v>VIA NUCLEO</v>
          </cell>
          <cell r="F1706">
            <v>6523</v>
          </cell>
          <cell r="G1706" t="str">
            <v>PREONZO -  SVIZZERA -</v>
          </cell>
          <cell r="I1706" t="str">
            <v>SVIZZERA</v>
          </cell>
          <cell r="J1706" t="str">
            <v>0041-764765209</v>
          </cell>
        </row>
        <row r="1707">
          <cell r="B1707">
            <v>4322</v>
          </cell>
          <cell r="C1707" t="str">
            <v>MHS ITALY S.R.L.</v>
          </cell>
          <cell r="D1707" t="str">
            <v>03287310126 03287310126</v>
          </cell>
          <cell r="E1707" t="str">
            <v>VIA ENRICO FERMI, 25</v>
          </cell>
          <cell r="F1707">
            <v>21047</v>
          </cell>
          <cell r="G1707" t="str">
            <v>SARONNO</v>
          </cell>
          <cell r="H1707" t="str">
            <v>VA</v>
          </cell>
          <cell r="I1707" t="str">
            <v>ITALIA</v>
          </cell>
          <cell r="J1707" t="str">
            <v>02-96788293</v>
          </cell>
        </row>
        <row r="1708">
          <cell r="B1708">
            <v>4719</v>
          </cell>
          <cell r="C1708" t="str">
            <v>MI.DI.A. SERVICE S. R.L.</v>
          </cell>
          <cell r="D1708" t="str">
            <v>09515030154 09515030154</v>
          </cell>
          <cell r="E1708" t="str">
            <v>VIA TOSCANELLI, 20/22</v>
          </cell>
          <cell r="F1708">
            <v>20090</v>
          </cell>
          <cell r="G1708" t="str">
            <v>BUCCINASCO</v>
          </cell>
          <cell r="H1708" t="str">
            <v>MI</v>
          </cell>
          <cell r="I1708" t="str">
            <v>ITALIA</v>
          </cell>
          <cell r="J1708" t="str">
            <v>n caffe</v>
          </cell>
        </row>
        <row r="1709">
          <cell r="B1709">
            <v>7458</v>
          </cell>
          <cell r="C1709" t="str">
            <v>MICHELE LIBERO  SRLS</v>
          </cell>
          <cell r="D1709" t="str">
            <v>13459001007</v>
          </cell>
          <cell r="E1709" t="str">
            <v>VIA PLATI 8</v>
          </cell>
          <cell r="F1709">
            <v>118</v>
          </cell>
          <cell r="G1709" t="str">
            <v>ROMA</v>
          </cell>
          <cell r="H1709" t="str">
            <v>RM</v>
          </cell>
          <cell r="I1709" t="str">
            <v>ITALIA</v>
          </cell>
          <cell r="J1709" t="str">
            <v>339-8117590</v>
          </cell>
        </row>
        <row r="1710">
          <cell r="B1710">
            <v>7167</v>
          </cell>
          <cell r="C1710" t="str">
            <v>MICHELE TONNI</v>
          </cell>
          <cell r="D1710" t="str">
            <v>TNNMHL83D15E526I</v>
          </cell>
          <cell r="E1710" t="str">
            <v>VIA RIGAMONTI 10</v>
          </cell>
          <cell r="F1710">
            <v>25016</v>
          </cell>
          <cell r="G1710" t="str">
            <v>GHEDI</v>
          </cell>
          <cell r="H1710" t="str">
            <v>BS</v>
          </cell>
          <cell r="I1710" t="str">
            <v>ITALIA</v>
          </cell>
          <cell r="J1710" t="str">
            <v>030-9031985</v>
          </cell>
        </row>
        <row r="1711">
          <cell r="B1711">
            <v>7303</v>
          </cell>
          <cell r="C1711" t="str">
            <v>MICHELI  ALESSANDRO</v>
          </cell>
          <cell r="D1711" t="str">
            <v>MCHLSN80C02G628 O</v>
          </cell>
          <cell r="E1711" t="str">
            <v>VIA FOCE 10</v>
          </cell>
          <cell r="F1711">
            <v>54033</v>
          </cell>
          <cell r="G1711" t="str">
            <v>CARRARA</v>
          </cell>
          <cell r="H1711" t="str">
            <v>MS</v>
          </cell>
          <cell r="I1711" t="str">
            <v>ITALIA</v>
          </cell>
          <cell r="J1711" t="str">
            <v>328-9316531</v>
          </cell>
        </row>
        <row r="1712">
          <cell r="B1712">
            <v>7944</v>
          </cell>
          <cell r="C1712" t="str">
            <v>MICHELI ROBERTO</v>
          </cell>
          <cell r="E1712" t="str">
            <v>VIA DOMENICO SUARDI, 9</v>
          </cell>
          <cell r="F1712">
            <v>24060</v>
          </cell>
          <cell r="G1712" t="str">
            <v>CASAZZA</v>
          </cell>
          <cell r="H1712" t="str">
            <v>BG</v>
          </cell>
          <cell r="I1712" t="str">
            <v>ITALIA</v>
          </cell>
          <cell r="J1712" t="str">
            <v>389-6364312</v>
          </cell>
        </row>
        <row r="1713">
          <cell r="B1713">
            <v>5337</v>
          </cell>
          <cell r="C1713" t="str">
            <v>MIDA S.R.L.</v>
          </cell>
          <cell r="D1713" t="str">
            <v>06502510016 06502510016</v>
          </cell>
          <cell r="E1713" t="str">
            <v>VIA GENOVA, 63/A</v>
          </cell>
          <cell r="F1713">
            <v>10098</v>
          </cell>
          <cell r="G1713" t="str">
            <v>RIVOLI</v>
          </cell>
          <cell r="H1713" t="str">
            <v>TO</v>
          </cell>
          <cell r="I1713" t="str">
            <v>ITALIA</v>
          </cell>
          <cell r="J1713" t="str">
            <v xml:space="preserve">011-789087 </v>
          </cell>
        </row>
        <row r="1714">
          <cell r="B1714">
            <v>4671</v>
          </cell>
          <cell r="C1714" t="str">
            <v>MIGLIANI OSANNA</v>
          </cell>
          <cell r="D1714" t="str">
            <v>MLNSNN38E53G702 I</v>
          </cell>
          <cell r="E1714" t="str">
            <v>VIA GALVANI, 3</v>
          </cell>
          <cell r="F1714">
            <v>56017</v>
          </cell>
          <cell r="G1714" t="str">
            <v>PONTASSERCHIO</v>
          </cell>
          <cell r="H1714" t="str">
            <v>PI</v>
          </cell>
          <cell r="I1714" t="str">
            <v>ITALIA</v>
          </cell>
        </row>
        <row r="1715">
          <cell r="B1715">
            <v>3644</v>
          </cell>
          <cell r="C1715" t="str">
            <v>MIGLIOR S.R.L.</v>
          </cell>
          <cell r="D1715" t="str">
            <v>10214890013 10214890013</v>
          </cell>
          <cell r="E1715" t="str">
            <v>STRADA STATALE 24 KM. 16,200</v>
          </cell>
          <cell r="F1715">
            <v>10091</v>
          </cell>
          <cell r="G1715" t="str">
            <v>ALPIGNANO</v>
          </cell>
          <cell r="H1715" t="str">
            <v>TO</v>
          </cell>
          <cell r="I1715" t="str">
            <v>ITALIA</v>
          </cell>
          <cell r="J1715" t="str">
            <v>011-9665666</v>
          </cell>
        </row>
        <row r="1716">
          <cell r="B1716">
            <v>7421</v>
          </cell>
          <cell r="C1716" t="str">
            <v>MIGLIORINI  PATRIZIA</v>
          </cell>
          <cell r="D1716" t="str">
            <v>MGLPRZ57S45F402 O</v>
          </cell>
          <cell r="E1716" t="str">
            <v>VIA IMBRIANI 53</v>
          </cell>
          <cell r="F1716">
            <v>50019</v>
          </cell>
          <cell r="G1716" t="str">
            <v>SESTO  FIORENTINO</v>
          </cell>
          <cell r="H1716" t="str">
            <v>FI</v>
          </cell>
          <cell r="I1716" t="str">
            <v>ITALIA</v>
          </cell>
          <cell r="J1716" t="str">
            <v>338-3089501</v>
          </cell>
        </row>
        <row r="1717">
          <cell r="B1717">
            <v>6598</v>
          </cell>
          <cell r="C1717" t="str">
            <v>MIKOS S.A.S.</v>
          </cell>
          <cell r="D1717" t="str">
            <v>03537780045 03537780045</v>
          </cell>
          <cell r="E1717" t="str">
            <v>VIA NAZIONALE, 7</v>
          </cell>
          <cell r="F1717">
            <v>12028</v>
          </cell>
          <cell r="G1717" t="str">
            <v>PRAZZO</v>
          </cell>
          <cell r="H1717" t="str">
            <v>CN</v>
          </cell>
          <cell r="I1717" t="str">
            <v>ITALIA</v>
          </cell>
          <cell r="J1717" t="str">
            <v xml:space="preserve">0171-618100 </v>
          </cell>
        </row>
        <row r="1718">
          <cell r="B1718">
            <v>7311</v>
          </cell>
          <cell r="C1718" t="str">
            <v>MILANO  CONSULENZA EDILE  S.R.L.S.</v>
          </cell>
          <cell r="D1718" t="str">
            <v>11124810968</v>
          </cell>
          <cell r="E1718" t="str">
            <v>VIA ORESTE SALOMONE  51 (cit. 056 e 025)</v>
          </cell>
          <cell r="F1718">
            <v>20138</v>
          </cell>
          <cell r="G1718" t="str">
            <v>MILANO</v>
          </cell>
          <cell r="H1718" t="str">
            <v>MI</v>
          </cell>
          <cell r="I1718" t="str">
            <v>ITALIA</v>
          </cell>
          <cell r="J1718" t="str">
            <v>02-99241985</v>
          </cell>
        </row>
        <row r="1719">
          <cell r="B1719">
            <v>4930</v>
          </cell>
          <cell r="C1719" t="str">
            <v>MILANO BUSINESS  CENTER</v>
          </cell>
          <cell r="D1719" t="str">
            <v>05235200960</v>
          </cell>
          <cell r="E1719" t="str">
            <v>VIA MAURO MACCHI, 8</v>
          </cell>
          <cell r="F1719">
            <v>20124</v>
          </cell>
          <cell r="G1719" t="str">
            <v>MILANO</v>
          </cell>
          <cell r="H1719" t="str">
            <v>MI</v>
          </cell>
          <cell r="I1719" t="str">
            <v>ITALIA</v>
          </cell>
          <cell r="J1719" t="str">
            <v>02-67739739</v>
          </cell>
        </row>
        <row r="1720">
          <cell r="B1720">
            <v>6875</v>
          </cell>
          <cell r="C1720" t="str">
            <v>MILANO VINCENZO</v>
          </cell>
          <cell r="D1720" t="str">
            <v>07398280011 MLNVCN59M19L219 G</v>
          </cell>
          <cell r="E1720" t="str">
            <v>VIA SAGRA DI SAN  MICHELE, N. 0</v>
          </cell>
          <cell r="F1720">
            <v>10141</v>
          </cell>
          <cell r="G1720" t="str">
            <v>TORINO</v>
          </cell>
          <cell r="H1720" t="str">
            <v>TO</v>
          </cell>
          <cell r="I1720" t="str">
            <v>ITALIA</v>
          </cell>
          <cell r="J1720" t="str">
            <v>338-8197000</v>
          </cell>
        </row>
        <row r="1721">
          <cell r="B1721">
            <v>7778</v>
          </cell>
          <cell r="C1721" t="str">
            <v>MILIDI CAFE' DI MICHELE CORTELLINO</v>
          </cell>
          <cell r="E1721" t="str">
            <v>CORSO EUROPA,16</v>
          </cell>
          <cell r="F1721">
            <v>20020</v>
          </cell>
          <cell r="G1721" t="str">
            <v>SOLARO</v>
          </cell>
          <cell r="H1721" t="str">
            <v>MI</v>
          </cell>
          <cell r="I1721" t="str">
            <v>ITALIA</v>
          </cell>
        </row>
        <row r="1722">
          <cell r="B1722">
            <v>3025</v>
          </cell>
          <cell r="C1722" t="str">
            <v>MILLENIUM DI  BINI DAVIDE</v>
          </cell>
          <cell r="D1722" t="str">
            <v>01693740993 BNIDVD71T20D969 E</v>
          </cell>
          <cell r="E1722" t="str">
            <v>VIA DELLA PIAZZETTA, 2R</v>
          </cell>
          <cell r="F1722">
            <v>16100</v>
          </cell>
          <cell r="G1722" t="str">
            <v>GENOVA</v>
          </cell>
          <cell r="H1722" t="str">
            <v>GE</v>
          </cell>
          <cell r="I1722" t="str">
            <v>ITALIA</v>
          </cell>
          <cell r="J1722" t="str">
            <v>010-8592128</v>
          </cell>
        </row>
        <row r="1723">
          <cell r="B1723">
            <v>4323</v>
          </cell>
          <cell r="C1723" t="str">
            <v>MILLENIUM S.R.L.</v>
          </cell>
          <cell r="D1723" t="str">
            <v>02140810991 02140810991</v>
          </cell>
          <cell r="E1723" t="str">
            <v>VIA PASSAGGI, 4/E R</v>
          </cell>
          <cell r="F1723">
            <v>16132</v>
          </cell>
          <cell r="G1723" t="str">
            <v>GENOVA</v>
          </cell>
          <cell r="H1723" t="str">
            <v>GE</v>
          </cell>
          <cell r="I1723" t="str">
            <v>ITALIA</v>
          </cell>
          <cell r="J1723" t="str">
            <v xml:space="preserve">010-8592128 </v>
          </cell>
        </row>
        <row r="1724">
          <cell r="B1724">
            <v>3636</v>
          </cell>
          <cell r="C1724" t="str">
            <v>MILLENNIUM  FITNESS 2M S.N.C.</v>
          </cell>
          <cell r="D1724" t="str">
            <v>10027900017 10027900017</v>
          </cell>
          <cell r="E1724" t="str">
            <v>VIA BRANDIZZO, 172/A</v>
          </cell>
          <cell r="F1724">
            <v>10088</v>
          </cell>
          <cell r="G1724" t="str">
            <v>VOLPIANO</v>
          </cell>
          <cell r="H1724" t="str">
            <v>TO</v>
          </cell>
          <cell r="I1724" t="str">
            <v>ITALIA</v>
          </cell>
          <cell r="J1724" t="str">
            <v xml:space="preserve">011-9882910 </v>
          </cell>
        </row>
        <row r="1725">
          <cell r="B1725">
            <v>6725</v>
          </cell>
          <cell r="C1725" t="str">
            <v>MIMETIC TATTOO DI  LUCA NEPOTISMO</v>
          </cell>
          <cell r="D1725" t="str">
            <v>02000600037</v>
          </cell>
          <cell r="E1725" t="str">
            <v>CORSO CAVOUR, 78</v>
          </cell>
          <cell r="F1725">
            <v>28040</v>
          </cell>
          <cell r="G1725" t="str">
            <v>DORMELLETTO</v>
          </cell>
          <cell r="H1725" t="str">
            <v>NO</v>
          </cell>
          <cell r="I1725" t="str">
            <v>ITALIA</v>
          </cell>
          <cell r="J1725" t="str">
            <v>328-3543969</v>
          </cell>
        </row>
        <row r="1726">
          <cell r="B1726">
            <v>7378</v>
          </cell>
          <cell r="C1726" t="str">
            <v>MINETTI MARCO</v>
          </cell>
          <cell r="D1726" t="str">
            <v>MNTMRC78P11D969 R</v>
          </cell>
          <cell r="E1726" t="str">
            <v>STRADA NUOVA COSTA  21-8</v>
          </cell>
          <cell r="F1726">
            <v>15076</v>
          </cell>
          <cell r="G1726" t="str">
            <v>OVADA</v>
          </cell>
          <cell r="H1726" t="str">
            <v>AL</v>
          </cell>
          <cell r="I1726" t="str">
            <v>ITALIA</v>
          </cell>
          <cell r="J1726" t="str">
            <v>339-6634311</v>
          </cell>
        </row>
        <row r="1727">
          <cell r="B1727">
            <v>7047</v>
          </cell>
          <cell r="C1727" t="str">
            <v>MINIERI DANIELE</v>
          </cell>
          <cell r="D1727" t="str">
            <v>MNRDNL77B02L750 G</v>
          </cell>
          <cell r="E1727" t="str">
            <v>VIA DUSNASI, 1</v>
          </cell>
          <cell r="F1727">
            <v>13100</v>
          </cell>
          <cell r="G1727" t="str">
            <v>VERCELLI</v>
          </cell>
          <cell r="H1727" t="str">
            <v>VC</v>
          </cell>
          <cell r="I1727" t="str">
            <v>ITALIA</v>
          </cell>
          <cell r="J1727" t="str">
            <v>335-1094669</v>
          </cell>
        </row>
        <row r="1728">
          <cell r="B1728">
            <v>5539</v>
          </cell>
          <cell r="C1728" t="str">
            <v>MINUTO CAFFE S.R.L</v>
          </cell>
          <cell r="D1728" t="str">
            <v>00113410096 00113410096</v>
          </cell>
          <cell r="E1728" t="str">
            <v>VIA NAZIONALE DEL  PIEMONTE, 3 B</v>
          </cell>
          <cell r="F1728">
            <v>17100</v>
          </cell>
          <cell r="G1728" t="str">
            <v>SAVONA ( LAVAGNOLA)</v>
          </cell>
          <cell r="H1728" t="str">
            <v>SV</v>
          </cell>
          <cell r="I1728" t="str">
            <v>ITALIA</v>
          </cell>
          <cell r="J1728" t="str">
            <v>019-853540</v>
          </cell>
        </row>
        <row r="1729">
          <cell r="B1729">
            <v>4657</v>
          </cell>
          <cell r="C1729" t="str">
            <v>MIRA  DISTRIBUZIONE DI  ALESSIO FERRARIO</v>
          </cell>
          <cell r="D1729" t="str">
            <v>08995880963 FRRLSS91S12E514 Q</v>
          </cell>
          <cell r="E1729" t="str">
            <v>VIA CESARE BATTISTI, 17</v>
          </cell>
          <cell r="F1729">
            <v>28040</v>
          </cell>
          <cell r="G1729" t="str">
            <v>DORMELLETTO</v>
          </cell>
          <cell r="H1729" t="str">
            <v>NO</v>
          </cell>
          <cell r="I1729" t="str">
            <v>ITALIA</v>
          </cell>
          <cell r="J1729" t="str">
            <v>345-8494037</v>
          </cell>
        </row>
        <row r="1730">
          <cell r="B1730">
            <v>7191</v>
          </cell>
          <cell r="C1730" t="str">
            <v>MIRASOLE SOCIETÀ  COOPERATIVA  SOCIALE</v>
          </cell>
          <cell r="D1730" t="str">
            <v>03679000129</v>
          </cell>
          <cell r="E1730" t="str">
            <v>VIA GIACOMO  MATTEOTTI, 47</v>
          </cell>
          <cell r="F1730">
            <v>21012</v>
          </cell>
          <cell r="G1730" t="str">
            <v>CASSANO  MAGNAGO</v>
          </cell>
          <cell r="H1730" t="str">
            <v>VA</v>
          </cell>
          <cell r="I1730" t="str">
            <v>ITALIA</v>
          </cell>
          <cell r="J1730" t="str">
            <v>389-0638433</v>
          </cell>
        </row>
        <row r="1731">
          <cell r="B1731">
            <v>193</v>
          </cell>
          <cell r="C1731" t="str">
            <v>MIROS S.R.L.</v>
          </cell>
          <cell r="D1731" t="str">
            <v>01585600123 01585600123</v>
          </cell>
          <cell r="E1731" t="str">
            <v>VIA GIOBERTI, 16</v>
          </cell>
          <cell r="F1731">
            <v>21052</v>
          </cell>
          <cell r="G1731" t="str">
            <v>BUSTO ARSIZIO</v>
          </cell>
          <cell r="H1731" t="str">
            <v>VA</v>
          </cell>
          <cell r="I1731" t="str">
            <v>ITALIA</v>
          </cell>
          <cell r="J1731" t="str">
            <v>0331-632589</v>
          </cell>
        </row>
        <row r="1732">
          <cell r="B1732">
            <v>7136</v>
          </cell>
          <cell r="C1732" t="str">
            <v>MISARTI RENATO</v>
          </cell>
          <cell r="D1732" t="str">
            <v>MSRRNT71T17L219 G</v>
          </cell>
          <cell r="E1732" t="str">
            <v>VIA RIVERA 43</v>
          </cell>
          <cell r="F1732">
            <v>10040</v>
          </cell>
          <cell r="G1732" t="str">
            <v>ALMESE</v>
          </cell>
          <cell r="H1732" t="str">
            <v>TO</v>
          </cell>
          <cell r="I1732" t="str">
            <v>ITALIA</v>
          </cell>
          <cell r="J1732" t="str">
            <v>347-7120775</v>
          </cell>
        </row>
        <row r="1733">
          <cell r="B1733">
            <v>4599</v>
          </cell>
          <cell r="C1733" t="str">
            <v>MISCELA S.A.S.</v>
          </cell>
          <cell r="D1733" t="str">
            <v>10886280014 10886280014</v>
          </cell>
          <cell r="E1733" t="str">
            <v>VIA MADAMA CRISTINA,  73 BIS/C</v>
          </cell>
          <cell r="F1733">
            <v>10125</v>
          </cell>
          <cell r="G1733" t="str">
            <v>TORINO</v>
          </cell>
          <cell r="H1733" t="str">
            <v>TO</v>
          </cell>
          <cell r="I1733" t="str">
            <v>ITALIA</v>
          </cell>
          <cell r="J1733" t="str">
            <v>011-7900000</v>
          </cell>
        </row>
        <row r="1734">
          <cell r="B1734">
            <v>4681</v>
          </cell>
          <cell r="C1734" t="str">
            <v>MISTER CLEAN S.R.L.</v>
          </cell>
          <cell r="D1734" t="str">
            <v>06444580960 06444580960</v>
          </cell>
          <cell r="E1734" t="str">
            <v>VIA MATTEOTTI, 3</v>
          </cell>
          <cell r="F1734">
            <v>20028</v>
          </cell>
          <cell r="G1734" t="str">
            <v>SAN VITTORE  OLONA</v>
          </cell>
          <cell r="H1734" t="str">
            <v>MI</v>
          </cell>
          <cell r="I1734" t="str">
            <v>ITALIA</v>
          </cell>
          <cell r="J1734" t="str">
            <v>335-5854850</v>
          </cell>
        </row>
        <row r="1735">
          <cell r="B1735">
            <v>2791</v>
          </cell>
          <cell r="C1735" t="str">
            <v>MISTER COFFEE S.R. L.</v>
          </cell>
          <cell r="D1735" t="str">
            <v>05578240961 05578240961</v>
          </cell>
          <cell r="E1735" t="str">
            <v>VIA CADUTI DI  NASSIRYIA, 1</v>
          </cell>
          <cell r="F1735">
            <v>20020</v>
          </cell>
          <cell r="G1735" t="str">
            <v>ARCONATE</v>
          </cell>
          <cell r="H1735" t="str">
            <v>MI</v>
          </cell>
          <cell r="I1735" t="str">
            <v>ITALIA</v>
          </cell>
          <cell r="J1735" t="str">
            <v>346-6847539</v>
          </cell>
        </row>
        <row r="1736">
          <cell r="B1736">
            <v>3191</v>
          </cell>
          <cell r="C1736" t="str">
            <v>MISTER WATER DI  CASINI ANDREA</v>
          </cell>
          <cell r="D1736" t="str">
            <v>01573120506 CSNNDR78P27G702 Z</v>
          </cell>
          <cell r="E1736" t="str">
            <v>VIA G. AMENDOLA, 19</v>
          </cell>
          <cell r="F1736">
            <v>56025</v>
          </cell>
          <cell r="G1736" t="str">
            <v>PONTEDERA</v>
          </cell>
          <cell r="H1736" t="str">
            <v>PI</v>
          </cell>
          <cell r="I1736" t="str">
            <v>ITALIA</v>
          </cell>
          <cell r="J1736" t="str">
            <v>0587-54360</v>
          </cell>
        </row>
        <row r="1737">
          <cell r="B1737">
            <v>7179</v>
          </cell>
          <cell r="C1737" t="str">
            <v>MIUCCI ARTURO</v>
          </cell>
          <cell r="D1737" t="str">
            <v>MCCRTR59B06E885 Y</v>
          </cell>
          <cell r="E1737" t="str">
            <v>VIA CRISTOFORO  COLOMBO RESIDENZA  ASTRI 832</v>
          </cell>
          <cell r="F1737">
            <v>20079</v>
          </cell>
          <cell r="G1737" t="str">
            <v>BASIGLIO</v>
          </cell>
          <cell r="H1737" t="str">
            <v>MI</v>
          </cell>
          <cell r="I1737" t="str">
            <v>ITALIA</v>
          </cell>
          <cell r="J1737" t="str">
            <v>340-3728891</v>
          </cell>
        </row>
        <row r="1738">
          <cell r="B1738">
            <v>6962</v>
          </cell>
          <cell r="C1738" t="str">
            <v>MIVIMA DI CARLO  BELFIORE</v>
          </cell>
          <cell r="D1738" t="str">
            <v>01697050084 BLFCRL75M14E290K</v>
          </cell>
          <cell r="E1738" t="str">
            <v>VIA RUFFINI</v>
          </cell>
          <cell r="F1738">
            <v>18100</v>
          </cell>
          <cell r="G1738" t="str">
            <v>IMPERIA</v>
          </cell>
          <cell r="H1738" t="str">
            <v>IM</v>
          </cell>
          <cell r="I1738" t="str">
            <v>ITALIA</v>
          </cell>
          <cell r="J1738" t="str">
            <v>351-9412527</v>
          </cell>
        </row>
        <row r="1739">
          <cell r="B1739">
            <v>2247</v>
          </cell>
          <cell r="C1739" t="str">
            <v>MIXSANA S.R.L.</v>
          </cell>
          <cell r="D1739" t="str">
            <v>01621501202 01621501202</v>
          </cell>
          <cell r="E1739" t="str">
            <v>VIA A. VOLTA, 5</v>
          </cell>
          <cell r="F1739">
            <v>28060</v>
          </cell>
          <cell r="G1739" t="str">
            <v>COMIGNAGO</v>
          </cell>
          <cell r="H1739" t="str">
            <v>NO</v>
          </cell>
          <cell r="I1739" t="str">
            <v>ITALIA</v>
          </cell>
          <cell r="J1739" t="str">
            <v>0322-50390</v>
          </cell>
        </row>
        <row r="1740">
          <cell r="B1740">
            <v>2356</v>
          </cell>
          <cell r="C1740" t="str">
            <v>MIXTURE BY MANO  SILVANO</v>
          </cell>
          <cell r="D1740" t="str">
            <v>02573580046 MNASVN66L24B111 H</v>
          </cell>
          <cell r="E1740" t="str">
            <v>VIA OSCAR MILANO, 93</v>
          </cell>
          <cell r="F1740">
            <v>12040</v>
          </cell>
          <cell r="G1740" t="str">
            <v>SANFRE'</v>
          </cell>
          <cell r="H1740" t="str">
            <v>CN</v>
          </cell>
          <cell r="I1740" t="str">
            <v>ITALIA</v>
          </cell>
          <cell r="J1740" t="str">
            <v>0172-587184</v>
          </cell>
        </row>
        <row r="1741">
          <cell r="B1741">
            <v>3505</v>
          </cell>
          <cell r="C1741" t="str">
            <v>MLK GROUP DI  PETRINI MAURO</v>
          </cell>
          <cell r="D1741" t="str">
            <v>02410440024 PTRMRA68E08B041 D</v>
          </cell>
          <cell r="E1741" t="str">
            <v>VIA CREMOSINA, 29</v>
          </cell>
          <cell r="F1741">
            <v>13018</v>
          </cell>
          <cell r="G1741" t="str">
            <v>VALDUGGIA</v>
          </cell>
          <cell r="H1741" t="str">
            <v>VC</v>
          </cell>
          <cell r="I1741" t="str">
            <v>ITALIA</v>
          </cell>
          <cell r="J1741" t="str">
            <v>0163-438056</v>
          </cell>
        </row>
        <row r="1742">
          <cell r="B1742">
            <v>3170</v>
          </cell>
          <cell r="C1742" t="str">
            <v>MO.CA. S.N.C.</v>
          </cell>
          <cell r="D1742" t="str">
            <v>01530360997 01530360997</v>
          </cell>
          <cell r="E1742" t="str">
            <v>VIA PIACENZA, 344/24</v>
          </cell>
          <cell r="F1742">
            <v>16043</v>
          </cell>
          <cell r="G1742" t="str">
            <v>CHIAVARI</v>
          </cell>
          <cell r="H1742" t="str">
            <v>GE</v>
          </cell>
          <cell r="I1742" t="str">
            <v>ITALIA</v>
          </cell>
          <cell r="J1742" t="str">
            <v>346-7956041</v>
          </cell>
        </row>
        <row r="1743">
          <cell r="B1743">
            <v>7462</v>
          </cell>
          <cell r="C1743" t="str">
            <v>MODESTO ROMINA</v>
          </cell>
          <cell r="D1743" t="str">
            <v>MDSRMN80M59G43 8Z</v>
          </cell>
          <cell r="E1743" t="str">
            <v>VIA SALARA</v>
          </cell>
          <cell r="F1743">
            <v>64030</v>
          </cell>
          <cell r="G1743" t="str">
            <v>BASCIANO</v>
          </cell>
          <cell r="H1743" t="str">
            <v>TE</v>
          </cell>
          <cell r="I1743" t="str">
            <v>ITALIA</v>
          </cell>
          <cell r="J1743" t="str">
            <v>339-4191428</v>
          </cell>
        </row>
        <row r="1744">
          <cell r="B1744">
            <v>6906</v>
          </cell>
          <cell r="C1744" t="str">
            <v>MODO PROMOTION  S.R.L.</v>
          </cell>
          <cell r="D1744" t="str">
            <v>11127620018 11127620018</v>
          </cell>
          <cell r="E1744" t="str">
            <v>CORSO UMBRIA, 42/B</v>
          </cell>
          <cell r="F1744">
            <v>10144</v>
          </cell>
          <cell r="G1744" t="str">
            <v>TORINO</v>
          </cell>
          <cell r="H1744" t="str">
            <v>TO</v>
          </cell>
          <cell r="I1744" t="str">
            <v>ITALIA</v>
          </cell>
          <cell r="J1744" t="str">
            <v>011-9220003</v>
          </cell>
        </row>
        <row r="1745">
          <cell r="B1745">
            <v>5949</v>
          </cell>
          <cell r="C1745" t="str">
            <v>MOISIO S.R.L.</v>
          </cell>
          <cell r="D1745" t="str">
            <v>02034240016 02034240016</v>
          </cell>
          <cell r="E1745" t="str">
            <v>CORSO LOMBARDIA, 133</v>
          </cell>
          <cell r="F1745">
            <v>10151</v>
          </cell>
          <cell r="G1745" t="str">
            <v>TORINO</v>
          </cell>
          <cell r="H1745" t="str">
            <v>TO</v>
          </cell>
          <cell r="I1745" t="str">
            <v>ITALIA</v>
          </cell>
          <cell r="J1745" t="str">
            <v>011-7399519</v>
          </cell>
        </row>
        <row r="1746">
          <cell r="B1746">
            <v>4730</v>
          </cell>
          <cell r="C1746" t="str">
            <v>MOK@NET DI  DONATELLA DE  CORATO</v>
          </cell>
          <cell r="D1746" t="str">
            <v>10958230012 DCRDTL71L52L219L</v>
          </cell>
          <cell r="E1746" t="str">
            <v>VIA SAN DOMENICO, 45</v>
          </cell>
          <cell r="F1746">
            <v>10122</v>
          </cell>
          <cell r="G1746" t="str">
            <v>TORINO</v>
          </cell>
          <cell r="H1746" t="str">
            <v>TO</v>
          </cell>
          <cell r="I1746" t="str">
            <v>ITALIA</v>
          </cell>
          <cell r="J1746" t="str">
            <v>011-5213060</v>
          </cell>
        </row>
        <row r="1747">
          <cell r="B1747">
            <v>5928</v>
          </cell>
          <cell r="C1747" t="str">
            <v>MOKABAR S.N.C. DI  BERTOLINO E. &amp; C.  TORREFAZ.</v>
          </cell>
          <cell r="D1747" t="str">
            <v>04922750015 04922750015</v>
          </cell>
          <cell r="E1747" t="str">
            <v>VIA STRADELLA, 238/5</v>
          </cell>
          <cell r="F1747">
            <v>10147</v>
          </cell>
          <cell r="G1747" t="str">
            <v>TORINO</v>
          </cell>
          <cell r="H1747" t="str">
            <v>TO</v>
          </cell>
          <cell r="I1747" t="str">
            <v>ITALIA</v>
          </cell>
          <cell r="J1747" t="str">
            <v xml:space="preserve">011-2268020 </v>
          </cell>
        </row>
        <row r="1748">
          <cell r="B1748">
            <v>6511</v>
          </cell>
          <cell r="C1748" t="str">
            <v>MOKAVENDING S.R. L.</v>
          </cell>
          <cell r="D1748" t="str">
            <v>13181480156 13181480156</v>
          </cell>
          <cell r="E1748" t="str">
            <v>STRADA PROVINCIALE 181,3</v>
          </cell>
          <cell r="F1748">
            <v>26839</v>
          </cell>
          <cell r="G1748" t="str">
            <v>ZELO BUON PERSICO</v>
          </cell>
          <cell r="H1748" t="str">
            <v>LO</v>
          </cell>
          <cell r="I1748" t="str">
            <v>ITALIA</v>
          </cell>
          <cell r="J1748" t="str">
            <v>02-90669182</v>
          </cell>
        </row>
        <row r="1749">
          <cell r="B1749">
            <v>4862</v>
          </cell>
          <cell r="C1749" t="str">
            <v>MOMENTI DI GUSTO  SNC</v>
          </cell>
          <cell r="D1749" t="str">
            <v>07690000968 07690000968</v>
          </cell>
          <cell r="E1749" t="str">
            <v>VIA TUCIDITE, 56</v>
          </cell>
          <cell r="F1749">
            <v>20134</v>
          </cell>
          <cell r="G1749" t="str">
            <v>MILANO</v>
          </cell>
          <cell r="H1749" t="str">
            <v>MI</v>
          </cell>
          <cell r="I1749" t="str">
            <v>ITALIA</v>
          </cell>
          <cell r="J1749" t="str">
            <v>339-6092109</v>
          </cell>
        </row>
        <row r="1750">
          <cell r="B1750">
            <v>6785</v>
          </cell>
          <cell r="C1750" t="str">
            <v>MOMENTO GUSTO  DI BRAGAGNOLO  MATTEO</v>
          </cell>
          <cell r="D1750" t="str">
            <v>04758710265</v>
          </cell>
          <cell r="E1750" t="str">
            <v>VIA E. DE AMICIS, 58</v>
          </cell>
          <cell r="F1750">
            <v>31033</v>
          </cell>
          <cell r="G1750" t="str">
            <v>CASTELFRANCO  VENETO</v>
          </cell>
          <cell r="H1750" t="str">
            <v>TV</v>
          </cell>
          <cell r="I1750" t="str">
            <v>ITALIA</v>
          </cell>
          <cell r="J1750" t="str">
            <v>327-0533486</v>
          </cell>
        </row>
        <row r="1751">
          <cell r="B1751">
            <v>4679</v>
          </cell>
          <cell r="C1751" t="str">
            <v>MONDELEZ ITALIA  SRL</v>
          </cell>
          <cell r="D1751" t="str">
            <v>11023000158 09963820155</v>
          </cell>
          <cell r="E1751" t="str">
            <v>VIA NIZZOLI, 3</v>
          </cell>
          <cell r="F1751">
            <v>20147</v>
          </cell>
          <cell r="G1751" t="str">
            <v>MILANO</v>
          </cell>
          <cell r="H1751" t="str">
            <v>MI</v>
          </cell>
          <cell r="I1751" t="str">
            <v>ITALIA</v>
          </cell>
          <cell r="J1751" t="str">
            <v>0241351 011-9974888</v>
          </cell>
        </row>
        <row r="1752">
          <cell r="B1752">
            <v>6947</v>
          </cell>
          <cell r="C1752" t="str">
            <v>MONDO CAFFE' S.R. L.</v>
          </cell>
          <cell r="D1752" t="str">
            <v>02701500023 02701500023</v>
          </cell>
          <cell r="E1752" t="str">
            <v>VIALE PO, 5</v>
          </cell>
          <cell r="F1752">
            <v>13044</v>
          </cell>
          <cell r="G1752" t="str">
            <v>CRESCENTINO</v>
          </cell>
          <cell r="H1752" t="str">
            <v>VC</v>
          </cell>
          <cell r="I1752" t="str">
            <v>ITALIA</v>
          </cell>
          <cell r="J1752" t="str">
            <v>366-4641443</v>
          </cell>
        </row>
        <row r="1753">
          <cell r="B1753">
            <v>4181</v>
          </cell>
          <cell r="C1753" t="str">
            <v>MONDO DEL CAFFE'  S.R.L.</v>
          </cell>
          <cell r="D1753" t="str">
            <v>01558600084 01558600084</v>
          </cell>
          <cell r="E1753" t="str">
            <v>VIA  MARTIRI, 26</v>
          </cell>
          <cell r="F1753">
            <v>18038</v>
          </cell>
          <cell r="G1753" t="str">
            <v>SANREMO</v>
          </cell>
          <cell r="H1753" t="str">
            <v>IM</v>
          </cell>
          <cell r="I1753" t="str">
            <v>ITALIA</v>
          </cell>
          <cell r="J1753" t="str">
            <v xml:space="preserve">0184-501056 </v>
          </cell>
        </row>
        <row r="1754">
          <cell r="B1754">
            <v>4491</v>
          </cell>
          <cell r="C1754" t="str">
            <v>MONDO DONNA S.A. S. DI GRUOSSO M.L.  &amp; C.</v>
          </cell>
          <cell r="D1754" t="str">
            <v>10271040015 10271040015</v>
          </cell>
          <cell r="E1754" t="str">
            <v>VIA TORINO, 118/I</v>
          </cell>
          <cell r="F1754">
            <v>10036</v>
          </cell>
          <cell r="G1754" t="str">
            <v>SETTIMO  TORINESE</v>
          </cell>
          <cell r="H1754" t="str">
            <v>TO</v>
          </cell>
          <cell r="I1754" t="str">
            <v>ITALIA</v>
          </cell>
          <cell r="J1754" t="str">
            <v>011-98500967</v>
          </cell>
        </row>
        <row r="1755">
          <cell r="B1755">
            <v>6480</v>
          </cell>
          <cell r="C1755" t="str">
            <v>MONDOCAFFE' DI  TECCHIATO  ANTONELLA</v>
          </cell>
          <cell r="D1755" t="str">
            <v>11470960011 TCCNNL65L46L219 Q</v>
          </cell>
          <cell r="E1755" t="str">
            <v>VIA NIZZA 335/A</v>
          </cell>
          <cell r="F1755">
            <v>10127</v>
          </cell>
          <cell r="G1755" t="str">
            <v>TORINO</v>
          </cell>
          <cell r="H1755" t="str">
            <v>TO</v>
          </cell>
          <cell r="I1755" t="str">
            <v>ITALIA</v>
          </cell>
          <cell r="J1755" t="str">
            <v xml:space="preserve">011-6671758 </v>
          </cell>
        </row>
        <row r="1756">
          <cell r="B1756">
            <v>2976</v>
          </cell>
          <cell r="C1756" t="str">
            <v>MONDOCAFFE' S.R.L.</v>
          </cell>
          <cell r="D1756" t="str">
            <v>01490490099 01490490099</v>
          </cell>
          <cell r="E1756" t="str">
            <v>VIA VENEZIA, 1</v>
          </cell>
          <cell r="F1756">
            <v>17031</v>
          </cell>
          <cell r="G1756" t="str">
            <v>ALBENGA</v>
          </cell>
          <cell r="H1756" t="str">
            <v>SV</v>
          </cell>
          <cell r="I1756" t="str">
            <v>ITALIA</v>
          </cell>
          <cell r="J1756" t="str">
            <v>0182-574577</v>
          </cell>
        </row>
        <row r="1757">
          <cell r="B1757">
            <v>4946</v>
          </cell>
          <cell r="C1757" t="str">
            <v>MONFORTE  DISTRIBUCION S.R. L.</v>
          </cell>
          <cell r="D1757" t="str">
            <v>00000000000 00000000000</v>
          </cell>
          <cell r="E1757" t="str">
            <v>CALLE PABLO NERUDA, 9</v>
          </cell>
          <cell r="F1757"/>
          <cell r="G1757" t="str">
            <v>SOSUA</v>
          </cell>
          <cell r="I1757" t="str">
            <v>REPUBBLICA DOMINICANA</v>
          </cell>
          <cell r="J1757" t="str">
            <v>809-5666719 829-2522200</v>
          </cell>
        </row>
        <row r="1758">
          <cell r="B1758">
            <v>6849</v>
          </cell>
          <cell r="C1758" t="str">
            <v>MONGE &amp; C S.P.A.</v>
          </cell>
          <cell r="D1758" t="str">
            <v>00182160044 00182160044</v>
          </cell>
          <cell r="E1758" t="str">
            <v>VIA SAVIGLIANO, 31</v>
          </cell>
          <cell r="F1758">
            <v>12030</v>
          </cell>
          <cell r="G1758" t="str">
            <v>MONASTEROLO  DI SAVIGLIANO</v>
          </cell>
          <cell r="H1758" t="str">
            <v>CN</v>
          </cell>
          <cell r="I1758" t="str">
            <v>ITALIA</v>
          </cell>
          <cell r="J1758" t="str">
            <v>0172-747111</v>
          </cell>
        </row>
        <row r="1759">
          <cell r="B1759">
            <v>7312</v>
          </cell>
          <cell r="C1759" t="str">
            <v>MONTI VALENTINA</v>
          </cell>
          <cell r="D1759" t="str">
            <v>MNTVNT77C42H501 H</v>
          </cell>
          <cell r="E1759" t="str">
            <v>VIA DELL'ALBARETO 8</v>
          </cell>
          <cell r="F1759">
            <v>126</v>
          </cell>
          <cell r="G1759" t="str">
            <v>ROMA</v>
          </cell>
          <cell r="H1759" t="str">
            <v>RM</v>
          </cell>
          <cell r="I1759" t="str">
            <v>ITALIA</v>
          </cell>
          <cell r="J1759" t="str">
            <v>393-0955024</v>
          </cell>
        </row>
        <row r="1760">
          <cell r="B1760">
            <v>3467</v>
          </cell>
          <cell r="C1760" t="str">
            <v>MONTICONE  FIORENZO</v>
          </cell>
          <cell r="D1760" t="str">
            <v>MNTFNZ55H05G674 Y</v>
          </cell>
          <cell r="E1760" t="str">
            <v>LOC. CHENIERE, 13</v>
          </cell>
          <cell r="F1760">
            <v>11020</v>
          </cell>
          <cell r="G1760" t="str">
            <v>POLLEIN</v>
          </cell>
          <cell r="H1760" t="str">
            <v>AO</v>
          </cell>
          <cell r="I1760" t="str">
            <v>ITALIA</v>
          </cell>
          <cell r="J1760" t="str">
            <v>347-3532758</v>
          </cell>
        </row>
        <row r="1761">
          <cell r="B1761">
            <v>1789</v>
          </cell>
          <cell r="C1761" t="str">
            <v>MOON MATIK</v>
          </cell>
          <cell r="D1761" t="str">
            <v>10859280157 MHMMDH53R04Z33 6W</v>
          </cell>
          <cell r="E1761" t="str">
            <v>VIA MARCANTONIO DAL  RE, 10</v>
          </cell>
          <cell r="F1761">
            <v>21100</v>
          </cell>
          <cell r="G1761" t="str">
            <v>MILANO</v>
          </cell>
          <cell r="H1761" t="str">
            <v>MI</v>
          </cell>
          <cell r="I1761" t="str">
            <v>ITALIA</v>
          </cell>
          <cell r="J1761" t="str">
            <v xml:space="preserve">02-324592 </v>
          </cell>
        </row>
        <row r="1762">
          <cell r="B1762">
            <v>4625</v>
          </cell>
          <cell r="C1762" t="str">
            <v>MORALIS D.O.O.</v>
          </cell>
          <cell r="D1762" t="str">
            <v>37352137090</v>
          </cell>
          <cell r="E1762" t="str">
            <v>GOTOVCEVA, 4</v>
          </cell>
          <cell r="F1762">
            <v>21000</v>
          </cell>
          <cell r="G1762" t="str">
            <v>SPLIT  -   CROAZIA -</v>
          </cell>
          <cell r="I1762" t="str">
            <v>CROAZIA</v>
          </cell>
          <cell r="J1762" t="str">
            <v>00385-914849124</v>
          </cell>
        </row>
        <row r="1763">
          <cell r="B1763">
            <v>7040</v>
          </cell>
          <cell r="C1763" t="str">
            <v>MORAMARCO  DOMENICO</v>
          </cell>
          <cell r="D1763" t="str">
            <v>MRMDNC65L18A225 M</v>
          </cell>
          <cell r="E1763" t="str">
            <v>VIA LAGO D'ISEO, 21</v>
          </cell>
          <cell r="F1763">
            <v>70022</v>
          </cell>
          <cell r="G1763" t="str">
            <v>ALTAMURA</v>
          </cell>
          <cell r="H1763" t="str">
            <v>BA</v>
          </cell>
          <cell r="I1763" t="str">
            <v>ITALIA</v>
          </cell>
          <cell r="J1763" t="str">
            <v>339-1770115</v>
          </cell>
        </row>
        <row r="1764">
          <cell r="B1764">
            <v>7369</v>
          </cell>
          <cell r="C1764" t="str">
            <v>MORBIOLI  MASSIMILIANO</v>
          </cell>
          <cell r="D1764" t="str">
            <v>MRBMSM77B07L781 S</v>
          </cell>
          <cell r="E1764" t="str">
            <v>VIA MADONNA DI  CAMPAGNA 128</v>
          </cell>
          <cell r="F1764">
            <v>37132</v>
          </cell>
          <cell r="G1764" t="str">
            <v>VERONA</v>
          </cell>
          <cell r="H1764" t="str">
            <v>VR</v>
          </cell>
          <cell r="I1764" t="str">
            <v>ITALIA</v>
          </cell>
          <cell r="J1764" t="str">
            <v>347-0333045</v>
          </cell>
        </row>
        <row r="1765">
          <cell r="B1765">
            <v>7403</v>
          </cell>
          <cell r="C1765" t="str">
            <v>MORCIANO  FRANCESCO</v>
          </cell>
          <cell r="D1765" t="str">
            <v>MRCFNC72A13Z112 W</v>
          </cell>
          <cell r="E1765" t="str">
            <v>VIA UGO FOSCOLO, 43</v>
          </cell>
          <cell r="F1765">
            <v>42041</v>
          </cell>
          <cell r="G1765" t="str">
            <v>BRESCELLO</v>
          </cell>
          <cell r="H1765" t="str">
            <v>RE</v>
          </cell>
          <cell r="I1765" t="str">
            <v>ITALIA</v>
          </cell>
          <cell r="J1765" t="str">
            <v>335-5792826</v>
          </cell>
        </row>
        <row r="1766">
          <cell r="B1766">
            <v>7278</v>
          </cell>
          <cell r="C1766" t="str">
            <v>MORIGGI MARIO</v>
          </cell>
          <cell r="D1766" t="str">
            <v>00797510161 00797510161</v>
          </cell>
          <cell r="E1766" t="str">
            <v>PIAZZALE DEI BREVETTI  17</v>
          </cell>
          <cell r="F1766">
            <v>24040</v>
          </cell>
          <cell r="G1766" t="str">
            <v>PAGAZZANO</v>
          </cell>
          <cell r="H1766" t="str">
            <v>BG</v>
          </cell>
          <cell r="I1766" t="str">
            <v>ITALIA</v>
          </cell>
          <cell r="J1766" t="str">
            <v>338-6272318</v>
          </cell>
        </row>
        <row r="1767">
          <cell r="B1767">
            <v>7368</v>
          </cell>
          <cell r="C1767" t="str">
            <v>MORTILLARO  FRANCESCO</v>
          </cell>
          <cell r="D1767" t="str">
            <v>MRTFNC60B08H501 A</v>
          </cell>
          <cell r="E1767" t="str">
            <v>VIA ARTEMISIA  MAMMUCCARI, 36</v>
          </cell>
          <cell r="F1767">
            <v>49</v>
          </cell>
          <cell r="G1767" t="str">
            <v>VELLETRI</v>
          </cell>
          <cell r="H1767" t="str">
            <v>RM</v>
          </cell>
          <cell r="I1767" t="str">
            <v>ITALIA</v>
          </cell>
          <cell r="J1767" t="str">
            <v>340-2739836</v>
          </cell>
        </row>
        <row r="1768">
          <cell r="B1768">
            <v>4970</v>
          </cell>
          <cell r="C1768" t="str">
            <v>MOSELE FIORENZO</v>
          </cell>
          <cell r="D1768" t="str">
            <v>MSLFNZ31L18D969 R</v>
          </cell>
          <cell r="E1768" t="str">
            <v>VIA LORENTEGGIO. 41</v>
          </cell>
          <cell r="F1768">
            <v>20146</v>
          </cell>
          <cell r="G1768" t="str">
            <v>MILANO</v>
          </cell>
          <cell r="H1768" t="str">
            <v>MI</v>
          </cell>
          <cell r="I1768" t="str">
            <v>ITALIA</v>
          </cell>
          <cell r="J1768" t="str">
            <v>335-7234582</v>
          </cell>
        </row>
        <row r="1769">
          <cell r="B1769">
            <v>7450</v>
          </cell>
          <cell r="C1769" t="str">
            <v>MOSER ROSALINDE</v>
          </cell>
          <cell r="D1769" t="str">
            <v>MSRRLN66D69H786 Y</v>
          </cell>
          <cell r="E1769" t="str">
            <v>PIAZZA WEIHER 15</v>
          </cell>
          <cell r="F1769">
            <v>39030</v>
          </cell>
          <cell r="G1769" t="str">
            <v>ISSENGO</v>
          </cell>
          <cell r="H1769" t="str">
            <v>BZ</v>
          </cell>
          <cell r="I1769" t="str">
            <v>ITALIA</v>
          </cell>
          <cell r="J1769" t="str">
            <v>349-3790700</v>
          </cell>
        </row>
        <row r="1770">
          <cell r="B1770">
            <v>1338</v>
          </cell>
          <cell r="C1770" t="str">
            <v>MR DIGITAL S.R.L.</v>
          </cell>
          <cell r="D1770" t="str">
            <v>07311000157 07311000157</v>
          </cell>
          <cell r="E1770" t="str">
            <v>VIA LIGURIA, 76/78</v>
          </cell>
          <cell r="F1770">
            <v>20025</v>
          </cell>
          <cell r="G1770" t="str">
            <v>LEGNANO</v>
          </cell>
          <cell r="H1770" t="str">
            <v>MI</v>
          </cell>
          <cell r="I1770" t="str">
            <v>ITALIA</v>
          </cell>
          <cell r="J1770" t="str">
            <v>0331-545181</v>
          </cell>
        </row>
        <row r="1771">
          <cell r="B1771">
            <v>7280</v>
          </cell>
          <cell r="C1771" t="str">
            <v>MUCCI DANIELE</v>
          </cell>
          <cell r="D1771" t="str">
            <v>MCCDNL80B09I496 K</v>
          </cell>
          <cell r="E1771" t="str">
            <v>VIA FOGLIANI 43</v>
          </cell>
          <cell r="F1771">
            <v>42019</v>
          </cell>
          <cell r="G1771" t="str">
            <v>SCANDIANO</v>
          </cell>
          <cell r="H1771" t="str">
            <v>RE</v>
          </cell>
          <cell r="I1771" t="str">
            <v>ITALIA</v>
          </cell>
          <cell r="J1771" t="str">
            <v>340-2362903</v>
          </cell>
        </row>
        <row r="1772">
          <cell r="B1772">
            <v>7081</v>
          </cell>
          <cell r="C1772" t="str">
            <v>MURRU SALVATORE</v>
          </cell>
          <cell r="D1772" t="str">
            <v>MRRSVT85P15I452 C</v>
          </cell>
          <cell r="E1772" t="str">
            <v>TRAVERSA MURRUZZULU,  22</v>
          </cell>
          <cell r="F1772">
            <v>7100</v>
          </cell>
          <cell r="G1772" t="str">
            <v>SASSARI</v>
          </cell>
          <cell r="H1772" t="str">
            <v>SS</v>
          </cell>
          <cell r="I1772" t="str">
            <v>ITALIA</v>
          </cell>
          <cell r="J1772" t="str">
            <v>340-2917243</v>
          </cell>
        </row>
        <row r="1773">
          <cell r="B1773">
            <v>7323</v>
          </cell>
          <cell r="C1773" t="str">
            <v>MUSESTI MANUELA</v>
          </cell>
          <cell r="D1773" t="str">
            <v>MSSMNL78D41D940 A</v>
          </cell>
          <cell r="E1773" t="str">
            <v>VIA CASTELLO 22</v>
          </cell>
          <cell r="F1773">
            <v>25089</v>
          </cell>
          <cell r="G1773" t="str">
            <v>SERLE</v>
          </cell>
          <cell r="H1773" t="str">
            <v>BS</v>
          </cell>
          <cell r="I1773" t="str">
            <v>ITALIA</v>
          </cell>
          <cell r="J1773" t="str">
            <v>333-6024172</v>
          </cell>
        </row>
        <row r="1774">
          <cell r="B1774">
            <v>2512</v>
          </cell>
          <cell r="C1774" t="str">
            <v>MUSETTI S.P.A.</v>
          </cell>
          <cell r="D1774" t="str">
            <v>00802420158 00802420158</v>
          </cell>
          <cell r="E1774" t="str">
            <v>VIA G. MARCORA, 2/4</v>
          </cell>
          <cell r="F1774">
            <v>29010</v>
          </cell>
          <cell r="G1774" t="str">
            <v>PONTENURE</v>
          </cell>
          <cell r="H1774" t="str">
            <v>PC</v>
          </cell>
          <cell r="I1774" t="str">
            <v>ITALIA</v>
          </cell>
          <cell r="J1774" t="str">
            <v>0523-692811</v>
          </cell>
        </row>
        <row r="1775">
          <cell r="B1775">
            <v>4771</v>
          </cell>
          <cell r="C1775" t="str">
            <v>N.C. ESPRESSO  POINT DI  CIMADOMO  ANTONIO</v>
          </cell>
          <cell r="D1775" t="str">
            <v>05189950651 CMDNTN74H29A717 E</v>
          </cell>
          <cell r="E1775" t="str">
            <v>CORSO DE ANGELIS, 21</v>
          </cell>
          <cell r="F1775">
            <v>84048</v>
          </cell>
          <cell r="G1775" t="str">
            <v>SAN MARCO DI  CASTELLABATE</v>
          </cell>
          <cell r="H1775" t="str">
            <v>SA</v>
          </cell>
          <cell r="I1775" t="str">
            <v>ITALIA</v>
          </cell>
          <cell r="J1775" t="str">
            <v>331-5929510</v>
          </cell>
        </row>
        <row r="1776">
          <cell r="B1776">
            <v>5229</v>
          </cell>
          <cell r="C1776" t="str">
            <v>N.G.B. DI FORNERIS  &amp; MILANO</v>
          </cell>
          <cell r="D1776" t="str">
            <v>02308540018 02308540018</v>
          </cell>
          <cell r="E1776" t="str">
            <v>VIA CARLO VIGNA, 4</v>
          </cell>
          <cell r="F1776">
            <v>10090</v>
          </cell>
          <cell r="G1776" t="str">
            <v>SAN GIORGIO</v>
          </cell>
          <cell r="H1776" t="str">
            <v>TO</v>
          </cell>
          <cell r="I1776" t="str">
            <v>ITALIA</v>
          </cell>
          <cell r="J1776" t="str">
            <v xml:space="preserve">0124-32250 </v>
          </cell>
        </row>
        <row r="1777">
          <cell r="B1777">
            <v>7959</v>
          </cell>
          <cell r="C1777" t="str">
            <v>NA PIZZA SAGL</v>
          </cell>
          <cell r="E1777" t="str">
            <v>STRADA TEUCRO ISELLA,9</v>
          </cell>
          <cell r="F1777"/>
          <cell r="G1777" t="str">
            <v>MORCOTE</v>
          </cell>
          <cell r="I1777" t="str">
            <v>SVIZZERA</v>
          </cell>
        </row>
        <row r="1778">
          <cell r="B1778">
            <v>7098</v>
          </cell>
          <cell r="C1778" t="str">
            <v>NANNI DIANA</v>
          </cell>
          <cell r="D1778" t="str">
            <v>NNNDNI95P64H199J</v>
          </cell>
          <cell r="E1778" t="str">
            <v>CIRCONVALLAZIONE  PIAZZA D'ARMI, 74</v>
          </cell>
          <cell r="F1778">
            <v>48122</v>
          </cell>
          <cell r="G1778" t="str">
            <v>RAVENNA</v>
          </cell>
          <cell r="H1778" t="str">
            <v>RA</v>
          </cell>
          <cell r="I1778" t="str">
            <v>ITALIA</v>
          </cell>
          <cell r="J1778" t="str">
            <v>335-5758081</v>
          </cell>
        </row>
        <row r="1779">
          <cell r="B1779">
            <v>7080</v>
          </cell>
          <cell r="C1779" t="str">
            <v>NAPOLI MICHELE</v>
          </cell>
          <cell r="D1779" t="str">
            <v>00880290804 NPLMHL53B10H558L</v>
          </cell>
          <cell r="E1779" t="str">
            <v>VIA MILANO, 3</v>
          </cell>
          <cell r="F1779">
            <v>22020</v>
          </cell>
          <cell r="G1779" t="str">
            <v>BIZZARONE</v>
          </cell>
          <cell r="H1779" t="str">
            <v>CO</v>
          </cell>
          <cell r="I1779" t="str">
            <v>ITALIA</v>
          </cell>
          <cell r="J1779" t="str">
            <v>351-9438768</v>
          </cell>
        </row>
        <row r="1780">
          <cell r="B1780">
            <v>7206</v>
          </cell>
          <cell r="C1780" t="str">
            <v>NASSINI  GIANFRANCO</v>
          </cell>
          <cell r="D1780" t="str">
            <v>NSSGFR47R04L919 R</v>
          </cell>
          <cell r="E1780" t="str">
            <v>VIA V. SORLINI 35</v>
          </cell>
          <cell r="F1780">
            <v>25062</v>
          </cell>
          <cell r="G1780" t="str">
            <v>CONCESIO</v>
          </cell>
          <cell r="H1780" t="str">
            <v>BS</v>
          </cell>
          <cell r="I1780" t="str">
            <v>ITALIA</v>
          </cell>
          <cell r="J1780" t="str">
            <v>339-7610358</v>
          </cell>
        </row>
        <row r="1781">
          <cell r="B1781">
            <v>6825</v>
          </cell>
          <cell r="C1781" t="str">
            <v>NASTASI  FRANCESCO</v>
          </cell>
          <cell r="D1781" t="str">
            <v>NSTFNC52P15B098L</v>
          </cell>
          <cell r="E1781" t="str">
            <v>CORSO TOSCANA, 8</v>
          </cell>
          <cell r="F1781">
            <v>10100</v>
          </cell>
          <cell r="G1781" t="str">
            <v>TORINO</v>
          </cell>
          <cell r="H1781" t="str">
            <v>TO</v>
          </cell>
          <cell r="I1781" t="str">
            <v>ITALIA</v>
          </cell>
          <cell r="J1781" t="str">
            <v>388-5621640</v>
          </cell>
        </row>
        <row r="1782">
          <cell r="B1782">
            <v>4767</v>
          </cell>
          <cell r="C1782" t="str">
            <v>NAVICART DI D'  ELIA VITTORIO</v>
          </cell>
          <cell r="D1782" t="str">
            <v>07669540960 DLEVTR42P03C448 E</v>
          </cell>
          <cell r="E1782" t="str">
            <v>VIA CALDARA, 21</v>
          </cell>
          <cell r="F1782">
            <v>20090</v>
          </cell>
          <cell r="G1782" t="str">
            <v>TREZZANO SUL  NAVIGLIO</v>
          </cell>
          <cell r="H1782" t="str">
            <v>MI</v>
          </cell>
          <cell r="I1782" t="str">
            <v>ITALIA</v>
          </cell>
          <cell r="J1782" t="str">
            <v>02-4451967</v>
          </cell>
        </row>
        <row r="1783">
          <cell r="B1783">
            <v>9059</v>
          </cell>
          <cell r="C1783" t="str">
            <v>NEGOZIO 101 C/O IL GIGANTE DI SAN GRATO (MONTANASO LOMBARDO)</v>
          </cell>
          <cell r="E1783" t="str">
            <v>VIA EMILIA, 2</v>
          </cell>
          <cell r="F1783">
            <v>26836</v>
          </cell>
          <cell r="G1783" t="str">
            <v>MONTANASO LOMBARDO</v>
          </cell>
          <cell r="H1783" t="str">
            <v>LO</v>
          </cell>
          <cell r="I1783" t="str">
            <v>ITALIA</v>
          </cell>
          <cell r="J1783" t="str">
            <v>335-8394776</v>
          </cell>
        </row>
        <row r="1784">
          <cell r="B1784">
            <v>9062</v>
          </cell>
          <cell r="C1784" t="str">
            <v>NEGOZIO 101 CAFFE' C/O BENNET (SAN MARTINO SICCOMARIO)</v>
          </cell>
          <cell r="G1784" t="str">
            <v>SAN MARTINO SICCOMARIO</v>
          </cell>
        </row>
        <row r="1785">
          <cell r="B1785">
            <v>9061</v>
          </cell>
          <cell r="C1785" t="str">
            <v>NEGOZIO 101 CAFFE' C/O C.C BENNET (PIEVE DI FISSIRAGA)</v>
          </cell>
          <cell r="E1785" t="str">
            <v>VIA DELLE NAZIONI UNITE, 1</v>
          </cell>
          <cell r="F1785">
            <v>26854</v>
          </cell>
          <cell r="G1785" t="str">
            <v>PIEVE DI FISSIRAGA</v>
          </cell>
          <cell r="H1785" t="str">
            <v>LO</v>
          </cell>
          <cell r="I1785" t="str">
            <v>ITALIA</v>
          </cell>
          <cell r="J1785" t="str">
            <v>335-8394776</v>
          </cell>
        </row>
        <row r="1786">
          <cell r="B1786">
            <v>9058</v>
          </cell>
          <cell r="C1786" t="str">
            <v>NEGOZIO 101 CAFFE' C/O C.C. BENNET (SAN MARTINO IN STRADA)</v>
          </cell>
          <cell r="E1786" t="str">
            <v>VIA EMILIA</v>
          </cell>
          <cell r="F1786">
            <v>26817</v>
          </cell>
          <cell r="G1786" t="str">
            <v>SAN MARTINO IN STRADA</v>
          </cell>
          <cell r="H1786" t="str">
            <v>LO</v>
          </cell>
          <cell r="I1786" t="str">
            <v>ITALIA</v>
          </cell>
          <cell r="J1786" t="str">
            <v>335-8394776</v>
          </cell>
        </row>
        <row r="1787">
          <cell r="B1787">
            <v>9057</v>
          </cell>
          <cell r="C1787" t="str">
            <v>NEGOZIO 101 CAFFE' C/O C.C. CARREFOUR (PAVIA)</v>
          </cell>
          <cell r="E1787" t="str">
            <v>VIA VIGENTINA ANGOLO VIA CASSANI</v>
          </cell>
          <cell r="F1787">
            <v>27100</v>
          </cell>
          <cell r="G1787" t="str">
            <v>PAVIA</v>
          </cell>
          <cell r="H1787" t="str">
            <v>PV</v>
          </cell>
          <cell r="I1787" t="str">
            <v>ITALIA</v>
          </cell>
          <cell r="J1787" t="str">
            <v>335-6848286</v>
          </cell>
        </row>
        <row r="1788">
          <cell r="B1788">
            <v>9060</v>
          </cell>
          <cell r="C1788" t="str">
            <v>NEGOZIO 101 CAFFE' C/O IPER (MONTEBELLO DELLA BATTAGLIA)</v>
          </cell>
          <cell r="E1788" t="str">
            <v>VIA ING. ADOLFO MAZZA, 50</v>
          </cell>
          <cell r="F1788">
            <v>27054</v>
          </cell>
          <cell r="G1788" t="str">
            <v>MONTEBELLO DELLA BATTAGLIA</v>
          </cell>
          <cell r="H1788" t="str">
            <v>PV</v>
          </cell>
          <cell r="I1788" t="str">
            <v>ITALIA</v>
          </cell>
          <cell r="J1788" t="str">
            <v>335-8394776</v>
          </cell>
        </row>
        <row r="1789">
          <cell r="B1789">
            <v>5222</v>
          </cell>
          <cell r="C1789" t="str">
            <v>NEGRI GIOVANNI</v>
          </cell>
          <cell r="D1789" t="str">
            <v>00628880056 NGRGNN58S02A479 S</v>
          </cell>
          <cell r="E1789" t="str">
            <v>PIAZZA PIACENTINO, 10</v>
          </cell>
          <cell r="F1789">
            <v>14030</v>
          </cell>
          <cell r="G1789" t="str">
            <v>ROCCHETTA  TANARO</v>
          </cell>
          <cell r="H1789" t="str">
            <v>AT</v>
          </cell>
          <cell r="I1789" t="str">
            <v>ITALIA</v>
          </cell>
          <cell r="J1789" t="str">
            <v>0141-644154</v>
          </cell>
        </row>
        <row r="1790">
          <cell r="B1790">
            <v>4121</v>
          </cell>
          <cell r="C1790" t="str">
            <v>NEMBO S.N.C. DI  GIACOBINO  LORENZA &amp; C.</v>
          </cell>
          <cell r="D1790" t="str">
            <v>02356600029 02356600029</v>
          </cell>
          <cell r="E1790" t="str">
            <v>VIA CAMPO SPORTIVO, 7</v>
          </cell>
          <cell r="F1790">
            <v>13862</v>
          </cell>
          <cell r="G1790" t="str">
            <v>BRUSNENGO</v>
          </cell>
          <cell r="H1790" t="str">
            <v>BI</v>
          </cell>
          <cell r="I1790" t="str">
            <v>ITALIA</v>
          </cell>
          <cell r="J1790" t="str">
            <v>347-6141100</v>
          </cell>
        </row>
        <row r="1791">
          <cell r="B1791">
            <v>2691</v>
          </cell>
          <cell r="C1791" t="str">
            <v>NEMBRI FABRIZIO</v>
          </cell>
          <cell r="D1791" t="str">
            <v>01886510161 01886510161</v>
          </cell>
          <cell r="E1791" t="str">
            <v>VIA ROGGIA VIGNOLA (  ZONA PIP 2)</v>
          </cell>
          <cell r="F1791">
            <v>24047</v>
          </cell>
          <cell r="G1791" t="str">
            <v>TREVIGLIO</v>
          </cell>
          <cell r="H1791" t="str">
            <v>BG</v>
          </cell>
          <cell r="I1791" t="str">
            <v>ITALIA</v>
          </cell>
          <cell r="J1791" t="str">
            <v>0363-305011</v>
          </cell>
        </row>
        <row r="1792">
          <cell r="B1792">
            <v>7042</v>
          </cell>
          <cell r="C1792" t="str">
            <v>NEMESI VENDING  SRLS</v>
          </cell>
          <cell r="D1792" t="str">
            <v>01712810082 01712810082</v>
          </cell>
          <cell r="E1792" t="str">
            <v>VIA PASSAGGIA 26 BIS</v>
          </cell>
          <cell r="F1792">
            <v>18013</v>
          </cell>
          <cell r="G1792" t="str">
            <v>DIANO  CASTELLO</v>
          </cell>
          <cell r="H1792" t="str">
            <v>IM</v>
          </cell>
          <cell r="I1792" t="str">
            <v>ITALIA</v>
          </cell>
          <cell r="J1792" t="str">
            <v xml:space="preserve">0183-497131 </v>
          </cell>
        </row>
        <row r="1793">
          <cell r="B1793">
            <v>4945</v>
          </cell>
          <cell r="C1793" t="str">
            <v>NEO MATIC S.R.L.</v>
          </cell>
          <cell r="D1793" t="str">
            <v>10618300015 10618300015</v>
          </cell>
          <cell r="E1793" t="str">
            <v>SS 228 PER IL LAGO DI  VIVERONE, 38</v>
          </cell>
          <cell r="F1793">
            <v>10010</v>
          </cell>
          <cell r="G1793" t="str">
            <v>BUROLO</v>
          </cell>
          <cell r="H1793" t="str">
            <v>TO</v>
          </cell>
          <cell r="I1793" t="str">
            <v>ITALIA</v>
          </cell>
          <cell r="J1793" t="str">
            <v>0125-676482</v>
          </cell>
        </row>
        <row r="1794">
          <cell r="B1794">
            <v>7009</v>
          </cell>
          <cell r="C1794" t="str">
            <v>NERI MARIA PAOLA</v>
          </cell>
          <cell r="D1794" t="str">
            <v>NREMPL65P58B354L</v>
          </cell>
          <cell r="E1794" t="str">
            <v>VIA NAZIONALE SNC</v>
          </cell>
          <cell r="F1794">
            <v>7052</v>
          </cell>
          <cell r="G1794" t="str">
            <v>MONTE PETROSU  - SAN TEODORO</v>
          </cell>
          <cell r="H1794" t="str">
            <v>SS</v>
          </cell>
          <cell r="I1794" t="str">
            <v>ITALIA</v>
          </cell>
          <cell r="J1794" t="str">
            <v>334-3930343</v>
          </cell>
        </row>
        <row r="1795">
          <cell r="B1795">
            <v>7169</v>
          </cell>
          <cell r="C1795" t="str">
            <v>NERI STEFANO</v>
          </cell>
          <cell r="D1795" t="str">
            <v>NRESFN61A06I726I</v>
          </cell>
          <cell r="E1795" t="str">
            <v>VIA CASALINO II, 79</v>
          </cell>
          <cell r="F1795">
            <v>53018</v>
          </cell>
          <cell r="G1795" t="str">
            <v>SOVICILLE</v>
          </cell>
          <cell r="H1795" t="str">
            <v>SI</v>
          </cell>
          <cell r="I1795" t="str">
            <v>ITALIA</v>
          </cell>
          <cell r="J1795" t="str">
            <v>329-8571194</v>
          </cell>
        </row>
        <row r="1796">
          <cell r="B1796">
            <v>4743</v>
          </cell>
          <cell r="C1796" t="str">
            <v>NERO BOLLENTE DI  LUIGI MONTEMAGGI</v>
          </cell>
          <cell r="D1796" t="str">
            <v>07091680152 MNTLGU61C31E648 B</v>
          </cell>
          <cell r="E1796" t="str">
            <v>VIA FRANCESCO AGELLO,  8</v>
          </cell>
          <cell r="F1796">
            <v>26900</v>
          </cell>
          <cell r="G1796" t="str">
            <v>LODI</v>
          </cell>
          <cell r="H1796" t="str">
            <v>LO</v>
          </cell>
          <cell r="I1796" t="str">
            <v>ITALIA</v>
          </cell>
          <cell r="J1796" t="str">
            <v>346-4003863</v>
          </cell>
        </row>
        <row r="1797">
          <cell r="B1797">
            <v>7414</v>
          </cell>
          <cell r="C1797" t="str">
            <v>NERO BOLLENTE DI  TONDOLO  DOMENICO</v>
          </cell>
          <cell r="D1797" t="str">
            <v>09963090015 TNDDNC59R03L219 E</v>
          </cell>
          <cell r="E1797" t="str">
            <v>VIA ARNAUD, 1</v>
          </cell>
          <cell r="F1797">
            <v>10066</v>
          </cell>
          <cell r="G1797" t="str">
            <v>TORRE PELLICE</v>
          </cell>
          <cell r="H1797" t="str">
            <v>TO</v>
          </cell>
          <cell r="I1797" t="str">
            <v>ITALIA</v>
          </cell>
          <cell r="J1797" t="str">
            <v>366-7483529</v>
          </cell>
        </row>
        <row r="1798">
          <cell r="B1798">
            <v>4385</v>
          </cell>
          <cell r="C1798" t="str">
            <v>NEW CAR WASH S.N. C.</v>
          </cell>
          <cell r="D1798" t="str">
            <v>10314750018 10314750018</v>
          </cell>
          <cell r="E1798" t="str">
            <v>CORSO ORBASSANO, 336</v>
          </cell>
          <cell r="F1798">
            <v>10137</v>
          </cell>
          <cell r="G1798" t="str">
            <v>TORINO</v>
          </cell>
          <cell r="I1798" t="str">
            <v>ITALIA</v>
          </cell>
          <cell r="J1798" t="str">
            <v>348-5667993</v>
          </cell>
        </row>
        <row r="1799">
          <cell r="B1799">
            <v>4438</v>
          </cell>
          <cell r="C1799" t="str">
            <v>NEW COFFEE S.A. S.</v>
          </cell>
          <cell r="D1799" t="str">
            <v>06232390841 06232390481 06232390481</v>
          </cell>
          <cell r="E1799" t="str">
            <v>VIA DELLA VETRERIA,  101/A</v>
          </cell>
          <cell r="F1799">
            <v>50063</v>
          </cell>
          <cell r="G1799" t="str">
            <v>FIGLINE  VALDARNO</v>
          </cell>
          <cell r="H1799" t="str">
            <v>FI</v>
          </cell>
          <cell r="I1799" t="str">
            <v>ITALIA</v>
          </cell>
          <cell r="J1799" t="str">
            <v>339-4425418</v>
          </cell>
        </row>
        <row r="1800">
          <cell r="B1800">
            <v>4853</v>
          </cell>
          <cell r="C1800" t="str">
            <v>NEW COFFEE S.R.L.</v>
          </cell>
          <cell r="D1800" t="str">
            <v>02251180515 02251180515</v>
          </cell>
          <cell r="E1800" t="str">
            <v>VIA ENRICO BERLINGUER, 36</v>
          </cell>
          <cell r="F1800">
            <v>52021</v>
          </cell>
          <cell r="G1800" t="str">
            <v>BUCINE</v>
          </cell>
          <cell r="H1800" t="str">
            <v>AR</v>
          </cell>
          <cell r="I1800" t="str">
            <v>ITALIA</v>
          </cell>
          <cell r="J1800" t="str">
            <v>339-4425418</v>
          </cell>
        </row>
        <row r="1801">
          <cell r="B1801">
            <v>6889</v>
          </cell>
          <cell r="C1801" t="str">
            <v>NEW LINE S.R.L.</v>
          </cell>
          <cell r="D1801" t="str">
            <v>03590910125 03590910125</v>
          </cell>
          <cell r="E1801" t="str">
            <v>VIA SAVONA, 10</v>
          </cell>
          <cell r="F1801">
            <v>21015</v>
          </cell>
          <cell r="G1801" t="str">
            <v>LONATE  POZZOLO</v>
          </cell>
          <cell r="H1801" t="str">
            <v>VA</v>
          </cell>
          <cell r="I1801" t="str">
            <v>ITALIA</v>
          </cell>
          <cell r="J1801" t="str">
            <v>0331-917500</v>
          </cell>
        </row>
        <row r="1802">
          <cell r="B1802">
            <v>6421</v>
          </cell>
          <cell r="C1802" t="str">
            <v>NEW RED S.N.C.  DI QUADRIO  PIETRO &amp; C.</v>
          </cell>
          <cell r="D1802" t="str">
            <v>03680400136 03680400136</v>
          </cell>
          <cell r="E1802" t="str">
            <v>VIA MAESTRI COMACINI,  15</v>
          </cell>
          <cell r="F1802">
            <v>22072</v>
          </cell>
          <cell r="G1802" t="str">
            <v>CERMENATE</v>
          </cell>
          <cell r="H1802" t="str">
            <v>CO</v>
          </cell>
          <cell r="I1802" t="str">
            <v>ITALIA</v>
          </cell>
          <cell r="J1802" t="str">
            <v>031-799300</v>
          </cell>
        </row>
        <row r="1803">
          <cell r="B1803">
            <v>4166</v>
          </cell>
          <cell r="C1803" t="str">
            <v>NEW RED S.R.L.</v>
          </cell>
          <cell r="D1803" t="str">
            <v>03299740138 03299740138</v>
          </cell>
          <cell r="E1803" t="str">
            <v>VIA MAESTRI COMACINI,  15</v>
          </cell>
          <cell r="F1803">
            <v>22072</v>
          </cell>
          <cell r="G1803" t="str">
            <v>CERMENATE</v>
          </cell>
          <cell r="H1803" t="str">
            <v>CO</v>
          </cell>
          <cell r="I1803" t="str">
            <v>ITALIA</v>
          </cell>
          <cell r="J1803" t="str">
            <v>031-799300</v>
          </cell>
        </row>
        <row r="1804">
          <cell r="B1804">
            <v>2945</v>
          </cell>
          <cell r="C1804" t="str">
            <v>NEW SERVICE S.N.C.</v>
          </cell>
          <cell r="D1804" t="str">
            <v>09594400013 09594400013</v>
          </cell>
          <cell r="E1804" t="str">
            <v>VIA PIACENZA, 5</v>
          </cell>
          <cell r="F1804">
            <v>10080</v>
          </cell>
          <cell r="G1804" t="str">
            <v>SAN BENIGNO  CANAVESE</v>
          </cell>
          <cell r="H1804" t="str">
            <v>TO</v>
          </cell>
          <cell r="I1804" t="str">
            <v>ITALIA</v>
          </cell>
          <cell r="J1804" t="str">
            <v>339-2807238</v>
          </cell>
        </row>
        <row r="1805">
          <cell r="B1805">
            <v>6677</v>
          </cell>
          <cell r="C1805" t="str">
            <v>NEXUS GROUP  SRL</v>
          </cell>
          <cell r="D1805" t="str">
            <v>02522730999 02522730999</v>
          </cell>
          <cell r="E1805" t="str">
            <v>VIA DONGHI, 13/5</v>
          </cell>
          <cell r="F1805">
            <v>16100</v>
          </cell>
          <cell r="G1805" t="str">
            <v>GENOVA</v>
          </cell>
          <cell r="H1805" t="str">
            <v>GE</v>
          </cell>
          <cell r="I1805" t="str">
            <v>ITALIA</v>
          </cell>
          <cell r="J1805" t="str">
            <v>347-3176822</v>
          </cell>
        </row>
        <row r="1806">
          <cell r="B1806">
            <v>8202</v>
          </cell>
          <cell r="C1806" t="str">
            <v>NHOOD SERVICES ITALY S.P.A.</v>
          </cell>
          <cell r="E1806" t="str">
            <v>VIA TRIBONIANO, 256</v>
          </cell>
          <cell r="F1806">
            <v>20124</v>
          </cell>
          <cell r="G1806" t="str">
            <v>MILANO</v>
          </cell>
          <cell r="H1806" t="str">
            <v>MI</v>
          </cell>
          <cell r="I1806" t="str">
            <v>ITALIA</v>
          </cell>
          <cell r="J1806" t="str">
            <v>342-1238530</v>
          </cell>
        </row>
        <row r="1807">
          <cell r="B1807">
            <v>3851</v>
          </cell>
          <cell r="C1807" t="str">
            <v>NIAGARA  CAR- WASH S.A.S</v>
          </cell>
          <cell r="D1807" t="str">
            <v>10021050017 10021050017</v>
          </cell>
          <cell r="E1807" t="str">
            <v>VIA AMENDOLA, 6</v>
          </cell>
          <cell r="F1807">
            <v>10023</v>
          </cell>
          <cell r="G1807" t="str">
            <v>CHIERI</v>
          </cell>
          <cell r="H1807" t="str">
            <v>TO</v>
          </cell>
          <cell r="I1807" t="str">
            <v>ITALIA</v>
          </cell>
          <cell r="J1807" t="str">
            <v>340-1060484</v>
          </cell>
        </row>
        <row r="1808">
          <cell r="B1808">
            <v>4489</v>
          </cell>
          <cell r="C1808" t="str">
            <v>NIAGARA DI  CARBONARO  CLAUDIO</v>
          </cell>
          <cell r="D1808" t="str">
            <v>07353890010 CRBCLD65B27I955 N</v>
          </cell>
          <cell r="E1808" t="str">
            <v>VIA PADRE ALIBERTI, 38</v>
          </cell>
          <cell r="F1808">
            <v>10048</v>
          </cell>
          <cell r="G1808" t="str">
            <v>VINOVO</v>
          </cell>
          <cell r="H1808" t="str">
            <v>TO</v>
          </cell>
          <cell r="I1808" t="str">
            <v>ITALIA</v>
          </cell>
          <cell r="J1808" t="str">
            <v xml:space="preserve">011-3835856 </v>
          </cell>
        </row>
        <row r="1809">
          <cell r="B1809">
            <v>6829</v>
          </cell>
          <cell r="C1809" t="str">
            <v>NIAM ALAEDDINE</v>
          </cell>
          <cell r="D1809" t="str">
            <v>11222690015 NMILDN88T06Z330 S</v>
          </cell>
          <cell r="E1809" t="str">
            <v>VIA CHIVASSO, 9</v>
          </cell>
          <cell r="F1809">
            <v>10147</v>
          </cell>
          <cell r="G1809" t="str">
            <v>TORINO</v>
          </cell>
          <cell r="H1809" t="str">
            <v>TO</v>
          </cell>
          <cell r="I1809" t="str">
            <v>ITALIA</v>
          </cell>
          <cell r="J1809" t="str">
            <v>349-1110654</v>
          </cell>
        </row>
        <row r="1810">
          <cell r="B1810">
            <v>4860</v>
          </cell>
          <cell r="C1810" t="str">
            <v>NIC VAR DI  NICOLAI NADIA E C.  S.A.S.</v>
          </cell>
          <cell r="D1810" t="str">
            <v>11538840015 11538840015</v>
          </cell>
          <cell r="E1810" t="str">
            <v>CORSO BELGIO, 68/B</v>
          </cell>
          <cell r="F1810">
            <v>10153</v>
          </cell>
          <cell r="G1810" t="str">
            <v>TORINO</v>
          </cell>
          <cell r="H1810" t="str">
            <v>TO</v>
          </cell>
          <cell r="I1810" t="str">
            <v>ITALIA</v>
          </cell>
          <cell r="J1810" t="str">
            <v>338-5449173</v>
          </cell>
        </row>
        <row r="1811">
          <cell r="B1811">
            <v>10220</v>
          </cell>
          <cell r="C1811" t="str">
            <v>NICO DISTRIBUTORI S.R.L.</v>
          </cell>
          <cell r="E1811" t="str">
            <v>VIA BRENTA, 30/F</v>
          </cell>
          <cell r="F1811">
            <v>31033</v>
          </cell>
          <cell r="G1811" t="str">
            <v>CASTELFRANCO VENETO</v>
          </cell>
          <cell r="H1811" t="str">
            <v>TV</v>
          </cell>
          <cell r="I1811" t="str">
            <v>ITALIA</v>
          </cell>
          <cell r="J1811" t="str">
            <v>338-7556926</v>
          </cell>
        </row>
        <row r="1812">
          <cell r="B1812">
            <v>4838</v>
          </cell>
          <cell r="C1812" t="str">
            <v>NICOLAI NADIA</v>
          </cell>
          <cell r="D1812" t="str">
            <v>NCLNDA55E62F205 D</v>
          </cell>
          <cell r="E1812" t="str">
            <v>VIA MADAMA CRISTINA,  54</v>
          </cell>
          <cell r="F1812">
            <v>10100</v>
          </cell>
          <cell r="G1812" t="str">
            <v>TORINO</v>
          </cell>
          <cell r="H1812" t="str">
            <v>TO</v>
          </cell>
          <cell r="I1812" t="str">
            <v>ITALIA</v>
          </cell>
          <cell r="J1812" t="str">
            <v>347-9233090</v>
          </cell>
        </row>
        <row r="1813">
          <cell r="B1813">
            <v>4976</v>
          </cell>
          <cell r="C1813" t="str">
            <v>NICOLETTA DI  VALENTINO  NICOLETTA</v>
          </cell>
          <cell r="D1813" t="str">
            <v>03807380989 VLNNLT81E47C618I</v>
          </cell>
          <cell r="E1813" t="str">
            <v>VIA CASELLE, 1</v>
          </cell>
          <cell r="F1813">
            <v>25030</v>
          </cell>
          <cell r="G1813" t="str">
            <v>COCCAGLIO</v>
          </cell>
          <cell r="H1813" t="str">
            <v>BS</v>
          </cell>
          <cell r="I1813" t="str">
            <v>ITALIA</v>
          </cell>
          <cell r="J1813" t="str">
            <v xml:space="preserve">030-5237503 </v>
          </cell>
        </row>
        <row r="1814">
          <cell r="B1814">
            <v>7306</v>
          </cell>
          <cell r="C1814" t="str">
            <v>NICOTRA  ELISABETTA</v>
          </cell>
          <cell r="D1814" t="str">
            <v>NCTLBT59H56E625 D</v>
          </cell>
          <cell r="E1814" t="str">
            <v>VIA ENZO POLI 4</v>
          </cell>
          <cell r="F1814">
            <v>57121</v>
          </cell>
          <cell r="G1814" t="str">
            <v>LIVORNO</v>
          </cell>
          <cell r="H1814" t="str">
            <v>LI</v>
          </cell>
          <cell r="I1814" t="str">
            <v>ITALIA</v>
          </cell>
          <cell r="J1814" t="str">
            <v>338-4499786</v>
          </cell>
        </row>
        <row r="1815">
          <cell r="B1815">
            <v>7501</v>
          </cell>
          <cell r="C1815" t="str">
            <v>NIEDDU STEFANO</v>
          </cell>
          <cell r="D1815" t="str">
            <v>NDDSFN88D12F979 M</v>
          </cell>
          <cell r="E1815" t="str">
            <v>VIA VITTORIO EMANUELE  III, 54</v>
          </cell>
          <cell r="F1815">
            <v>7014</v>
          </cell>
          <cell r="G1815" t="str">
            <v>BOTTIDDA</v>
          </cell>
          <cell r="H1815" t="str">
            <v>SS</v>
          </cell>
          <cell r="I1815" t="str">
            <v>ITALIA</v>
          </cell>
          <cell r="J1815" t="str">
            <v>340-6914343</v>
          </cell>
        </row>
        <row r="1816">
          <cell r="B1816">
            <v>4505</v>
          </cell>
          <cell r="C1816" t="str">
            <v>NON SOLO  CAFFE' DI ROMANO  ALESSANDRO</v>
          </cell>
          <cell r="D1816" t="str">
            <v>08537990965 RMNLSN66D26F205 O</v>
          </cell>
          <cell r="E1816" t="str">
            <v>VIA 24 MAGGIO, 14</v>
          </cell>
          <cell r="F1816">
            <v>20032</v>
          </cell>
          <cell r="G1816" t="str">
            <v>CORMANO</v>
          </cell>
          <cell r="H1816" t="str">
            <v>MI</v>
          </cell>
          <cell r="I1816" t="str">
            <v>ITALIA</v>
          </cell>
          <cell r="J1816" t="str">
            <v>327-3272179</v>
          </cell>
        </row>
        <row r="1817">
          <cell r="B1817">
            <v>2897</v>
          </cell>
          <cell r="C1817" t="str">
            <v>NON SOLO CAFFE'</v>
          </cell>
          <cell r="E1817" t="str">
            <v>VIALE REPUBBLICA, 73/4</v>
          </cell>
          <cell r="F1817">
            <v>22060</v>
          </cell>
          <cell r="G1817" t="str">
            <v>CABIATE</v>
          </cell>
          <cell r="H1817" t="str">
            <v>CO</v>
          </cell>
          <cell r="I1817" t="str">
            <v>ITALIA</v>
          </cell>
          <cell r="J1817" t="str">
            <v>031-2257160</v>
          </cell>
        </row>
        <row r="1818">
          <cell r="B1818">
            <v>6599</v>
          </cell>
          <cell r="C1818" t="str">
            <v>NON SOLO CAFFE'  DI SEQUENZIA  ALFREDO</v>
          </cell>
          <cell r="D1818" t="str">
            <v>11841040014 SQNLRD74E17B787 F</v>
          </cell>
          <cell r="E1818" t="str">
            <v>VIA BISTOLFI 42/A</v>
          </cell>
          <cell r="F1818">
            <v>10040</v>
          </cell>
          <cell r="G1818" t="str">
            <v>LA  LOGGIA</v>
          </cell>
          <cell r="H1818" t="str">
            <v>TO</v>
          </cell>
          <cell r="I1818" t="str">
            <v>ITALIA</v>
          </cell>
          <cell r="J1818" t="str">
            <v>339-2912898</v>
          </cell>
        </row>
        <row r="1819">
          <cell r="B1819">
            <v>7087</v>
          </cell>
          <cell r="C1819" t="str">
            <v>NON SOLO CAPSULE  DI CAMORCIA M.</v>
          </cell>
          <cell r="D1819" t="str">
            <v>12028030018 CMRMHL66P70F220 G</v>
          </cell>
          <cell r="E1819" t="str">
            <v>C.SO POTENZA, 173/B</v>
          </cell>
          <cell r="F1819">
            <v>10049</v>
          </cell>
          <cell r="G1819" t="str">
            <v>TORINO</v>
          </cell>
          <cell r="H1819" t="str">
            <v>TO</v>
          </cell>
          <cell r="I1819" t="str">
            <v>ITALIA</v>
          </cell>
          <cell r="J1819" t="str">
            <v>011-18994824</v>
          </cell>
        </row>
        <row r="1820">
          <cell r="B1820">
            <v>7509</v>
          </cell>
          <cell r="C1820" t="str">
            <v>NON SOLO CAPSULE  DI CIANCITTO  GIORGIA</v>
          </cell>
          <cell r="D1820" t="str">
            <v>CNCGRG00M57L219 S</v>
          </cell>
          <cell r="E1820" t="str">
            <v>C.SO ALLAMANO, 65/A</v>
          </cell>
          <cell r="F1820">
            <v>10136</v>
          </cell>
          <cell r="G1820" t="str">
            <v>TORINO</v>
          </cell>
          <cell r="H1820" t="str">
            <v>TO</v>
          </cell>
          <cell r="I1820" t="str">
            <v>ITALIA</v>
          </cell>
          <cell r="J1820" t="str">
            <v>379-1194018</v>
          </cell>
        </row>
        <row r="1821">
          <cell r="B1821">
            <v>7172</v>
          </cell>
          <cell r="C1821" t="str">
            <v>NON SOLO CAPSULE  DI PRODAN  DOMNICA</v>
          </cell>
          <cell r="D1821" t="str">
            <v>12341840010 PRDDNC80P68Z140 Z</v>
          </cell>
          <cell r="E1821" t="str">
            <v>VIA VANCHIGLIA, 36</v>
          </cell>
          <cell r="F1821">
            <v>10100</v>
          </cell>
          <cell r="G1821" t="str">
            <v>TORINO</v>
          </cell>
          <cell r="H1821" t="str">
            <v>TO</v>
          </cell>
          <cell r="I1821" t="str">
            <v>ITALIA</v>
          </cell>
          <cell r="J1821" t="str">
            <v>334-8198466</v>
          </cell>
        </row>
        <row r="1822">
          <cell r="B1822">
            <v>6566</v>
          </cell>
          <cell r="C1822" t="str">
            <v>NON SOLO CAPSULE  DI SILVIA SANTI</v>
          </cell>
          <cell r="D1822" t="str">
            <v>11096420010 SNTSLV74S49F335 M</v>
          </cell>
          <cell r="E1822" t="str">
            <v>VIA BIANZÈ, 21</v>
          </cell>
          <cell r="F1822">
            <v>10147</v>
          </cell>
          <cell r="G1822" t="str">
            <v>TORINO</v>
          </cell>
          <cell r="H1822" t="str">
            <v>TO</v>
          </cell>
          <cell r="I1822" t="str">
            <v>ITALIA</v>
          </cell>
          <cell r="J1822" t="str">
            <v>392-3521106</v>
          </cell>
        </row>
        <row r="1823">
          <cell r="B1823">
            <v>6672</v>
          </cell>
          <cell r="C1823" t="str">
            <v>NON SOLO CIALDE  DI ZAMFIRESCU  ELENA</v>
          </cell>
          <cell r="D1823" t="str">
            <v>11884580017 ZMFLLL81C50Z129X</v>
          </cell>
          <cell r="E1823" t="str">
            <v>STRADA CARIGNANO, 20</v>
          </cell>
          <cell r="F1823">
            <v>10024</v>
          </cell>
          <cell r="G1823" t="str">
            <v>MONCALIERI</v>
          </cell>
          <cell r="H1823" t="str">
            <v>TO</v>
          </cell>
          <cell r="I1823" t="str">
            <v>ITALIA</v>
          </cell>
          <cell r="J1823" t="str">
            <v>371-3438943</v>
          </cell>
        </row>
        <row r="1824">
          <cell r="B1824">
            <v>6775</v>
          </cell>
          <cell r="C1824" t="str">
            <v>NON SOLO FUMO</v>
          </cell>
          <cell r="D1824" t="str">
            <v>09721040963 RIOCRI63D27F839H</v>
          </cell>
          <cell r="E1824" t="str">
            <v>VIA ALESSANDRO  MANZONI, 122</v>
          </cell>
          <cell r="F1824">
            <v>20067</v>
          </cell>
          <cell r="G1824" t="str">
            <v>PAULLO</v>
          </cell>
          <cell r="H1824" t="str">
            <v>MI</v>
          </cell>
          <cell r="I1824" t="str">
            <v>ITALIA</v>
          </cell>
          <cell r="J1824" t="str">
            <v>02-90630011</v>
          </cell>
        </row>
        <row r="1825">
          <cell r="B1825">
            <v>7507</v>
          </cell>
          <cell r="C1825" t="str">
            <v>NON SOLO FUMO DI  LENGE CARMELINDA</v>
          </cell>
          <cell r="D1825" t="str">
            <v>07017430013 LNGCML70P66L219 M</v>
          </cell>
          <cell r="E1825" t="str">
            <v>VIA GIAVENO, 107</v>
          </cell>
          <cell r="F1825">
            <v>10040</v>
          </cell>
          <cell r="G1825" t="str">
            <v>RIVALTA DI  TORINO</v>
          </cell>
          <cell r="H1825" t="str">
            <v>TO</v>
          </cell>
          <cell r="I1825" t="str">
            <v>ITALIA</v>
          </cell>
          <cell r="J1825" t="str">
            <v>393-7968669</v>
          </cell>
        </row>
        <row r="1826">
          <cell r="B1826">
            <v>6858</v>
          </cell>
          <cell r="C1826" t="str">
            <v>NON SOLO MOKA DI  FANELLO MICHELA</v>
          </cell>
          <cell r="D1826" t="str">
            <v>01793040096 FNLMHL89B41A145P</v>
          </cell>
          <cell r="E1826" t="str">
            <v>PIAZZA DON FRANCESCO  DELLA VALLE, 2</v>
          </cell>
          <cell r="F1826">
            <v>17021</v>
          </cell>
          <cell r="G1826" t="str">
            <v>ALASSIO</v>
          </cell>
          <cell r="H1826" t="str">
            <v>SV</v>
          </cell>
          <cell r="I1826" t="str">
            <v>ITALIA</v>
          </cell>
          <cell r="J1826" t="str">
            <v>346-3735437</v>
          </cell>
        </row>
        <row r="1827">
          <cell r="B1827">
            <v>10081</v>
          </cell>
          <cell r="C1827" t="str">
            <v>NON SOLO PAUSA S.R.L.</v>
          </cell>
          <cell r="E1827" t="str">
            <v>STRADA NUOVA ,48</v>
          </cell>
          <cell r="F1827">
            <v>27100</v>
          </cell>
          <cell r="G1827" t="str">
            <v>PAVIA</v>
          </cell>
          <cell r="H1827" t="str">
            <v>PV</v>
          </cell>
          <cell r="I1827" t="str">
            <v>ITALIA</v>
          </cell>
        </row>
        <row r="1828">
          <cell r="B1828">
            <v>6777</v>
          </cell>
          <cell r="C1828" t="str">
            <v>NONSOLOCAFFE' DI  MARTINA MARIA  PIGNATIELLO</v>
          </cell>
          <cell r="D1828" t="str">
            <v>12020260019 PGNMTN97T64L727 Q</v>
          </cell>
          <cell r="E1828" t="str">
            <v>PIAZZA SAN ROCCO 3/C</v>
          </cell>
          <cell r="F1828">
            <v>10077</v>
          </cell>
          <cell r="G1828" t="str">
            <v>SAN MAURIZIO  C.SE</v>
          </cell>
          <cell r="H1828" t="str">
            <v>TO</v>
          </cell>
          <cell r="I1828" t="str">
            <v>ITALIA</v>
          </cell>
          <cell r="J1828" t="str">
            <v>339-3215605</v>
          </cell>
        </row>
        <row r="1829">
          <cell r="B1829">
            <v>4714</v>
          </cell>
          <cell r="C1829" t="str">
            <v>NORD OVEST DI  GIACONE LUISELLA  S.A.S. &amp; C.</v>
          </cell>
          <cell r="D1829" t="str">
            <v>08815410017 08815410017</v>
          </cell>
          <cell r="E1829" t="str">
            <v>VIA SALBERTRAND, 85</v>
          </cell>
          <cell r="F1829">
            <v>10100</v>
          </cell>
          <cell r="G1829" t="str">
            <v>TORINO</v>
          </cell>
          <cell r="H1829" t="str">
            <v>TO</v>
          </cell>
          <cell r="I1829" t="str">
            <v>ITALIA</v>
          </cell>
          <cell r="J1829" t="str">
            <v xml:space="preserve">011-0378342 </v>
          </cell>
        </row>
        <row r="1830">
          <cell r="B1830">
            <v>4776</v>
          </cell>
          <cell r="C1830" t="str">
            <v>NORD SERVIZI SRLS</v>
          </cell>
          <cell r="D1830" t="str">
            <v>02473370035 02473370035</v>
          </cell>
          <cell r="E1830" t="str">
            <v>VIA CIRLA, 13/A</v>
          </cell>
          <cell r="F1830">
            <v>28883</v>
          </cell>
          <cell r="G1830" t="str">
            <v>GRAVELLONA  TOCE</v>
          </cell>
          <cell r="H1830" t="str">
            <v>VB</v>
          </cell>
          <cell r="I1830" t="str">
            <v>ITALIA</v>
          </cell>
          <cell r="J1830" t="str">
            <v>335-6842010</v>
          </cell>
        </row>
        <row r="1831">
          <cell r="C1831" t="str">
            <v>NORDA IMBALLAGGI</v>
          </cell>
          <cell r="E1831" t="str">
            <v>VIA PRIMO MAGGIO,52</v>
          </cell>
          <cell r="F1831">
            <v>21048</v>
          </cell>
          <cell r="G1831" t="str">
            <v>SOLBIATE ARNO</v>
          </cell>
          <cell r="H1831" t="str">
            <v>VA</v>
          </cell>
          <cell r="I1831" t="str">
            <v>ITALIA</v>
          </cell>
          <cell r="J1831" t="str">
            <v>0335-251662</v>
          </cell>
        </row>
        <row r="1832">
          <cell r="B1832">
            <v>2999</v>
          </cell>
          <cell r="C1832" t="str">
            <v>NOTARBARTOLO &amp;  GERVASI S.P.A.</v>
          </cell>
          <cell r="D1832" t="str">
            <v>11980320151 02612760963</v>
          </cell>
          <cell r="E1832" t="str">
            <v>CORSO DI PORTA  VITTORIA, 9</v>
          </cell>
          <cell r="F1832">
            <v>20122</v>
          </cell>
          <cell r="G1832" t="str">
            <v>MILANO</v>
          </cell>
          <cell r="H1832" t="str">
            <v>MI</v>
          </cell>
          <cell r="I1832" t="str">
            <v>ITALIA</v>
          </cell>
          <cell r="J1832" t="str">
            <v xml:space="preserve">02-5417991 </v>
          </cell>
        </row>
        <row r="1833">
          <cell r="B1833">
            <v>3162</v>
          </cell>
          <cell r="C1833" t="str">
            <v>NOVA CAFFE' DI  BRISCESE GIUSEPPE</v>
          </cell>
          <cell r="D1833" t="str">
            <v>06190610961 BRSGPP66B15F704 P</v>
          </cell>
          <cell r="E1833" t="str">
            <v>VIA LOCATELLI, 28</v>
          </cell>
          <cell r="F1833">
            <v>20054</v>
          </cell>
          <cell r="G1833" t="str">
            <v>NOVA MILANESE</v>
          </cell>
          <cell r="H1833" t="str">
            <v>MI</v>
          </cell>
          <cell r="I1833" t="str">
            <v>ITALIA</v>
          </cell>
          <cell r="J1833" t="str">
            <v>366-3847584</v>
          </cell>
        </row>
        <row r="1834">
          <cell r="B1834">
            <v>7936</v>
          </cell>
          <cell r="C1834" t="str">
            <v>NOVA PROMPT S.R.L.</v>
          </cell>
          <cell r="E1834" t="str">
            <v>ALEEA MIZIL, 60</v>
          </cell>
          <cell r="F1834">
            <v>50335</v>
          </cell>
          <cell r="G1834" t="str">
            <v>BUCURESTI</v>
          </cell>
          <cell r="I1834" t="str">
            <v>ROMANIA</v>
          </cell>
        </row>
        <row r="1835">
          <cell r="B1835">
            <v>7937</v>
          </cell>
          <cell r="C1835" t="str">
            <v>NOVA PROMPT S.R.L.</v>
          </cell>
          <cell r="E1835" t="str">
            <v>SOSEAUA CIOROGARLEI, 139</v>
          </cell>
          <cell r="F1835">
            <v>87151</v>
          </cell>
          <cell r="G1835" t="str">
            <v>JOITA - JUDET GIURGIU</v>
          </cell>
          <cell r="I1835" t="str">
            <v>ROMANIA</v>
          </cell>
        </row>
        <row r="1836">
          <cell r="B1836">
            <v>4670</v>
          </cell>
          <cell r="C1836" t="str">
            <v>NOVAGEST S.R.L.</v>
          </cell>
          <cell r="D1836" t="str">
            <v>03139640266 03139640266</v>
          </cell>
          <cell r="E1836" t="str">
            <v>VIA PALUDETTI, 28/C</v>
          </cell>
          <cell r="F1836">
            <v>31100</v>
          </cell>
          <cell r="G1836" t="str">
            <v>TREVISO</v>
          </cell>
          <cell r="H1836" t="str">
            <v>TV</v>
          </cell>
          <cell r="I1836" t="str">
            <v>ITALIA</v>
          </cell>
          <cell r="J1836" t="str">
            <v>0422-230402</v>
          </cell>
        </row>
        <row r="1837">
          <cell r="B1837">
            <v>3486</v>
          </cell>
          <cell r="C1837" t="str">
            <v>NOVAMATIC SRL</v>
          </cell>
          <cell r="D1837" t="str">
            <v>06960510011 06960510011</v>
          </cell>
          <cell r="E1837" t="str">
            <v>VIA LOMBARDORE 290</v>
          </cell>
          <cell r="F1837">
            <v>10040</v>
          </cell>
          <cell r="G1837" t="str">
            <v>LEINI'</v>
          </cell>
          <cell r="H1837" t="str">
            <v>TO</v>
          </cell>
          <cell r="I1837" t="str">
            <v>ITALIA</v>
          </cell>
          <cell r="J1837" t="str">
            <v>011-9978741</v>
          </cell>
        </row>
        <row r="1838">
          <cell r="B1838">
            <v>304</v>
          </cell>
          <cell r="C1838" t="str">
            <v>NOVAPLAST S.R.L.</v>
          </cell>
          <cell r="E1838" t="str">
            <v>VIA LEONARDO DA VINCI, 165</v>
          </cell>
          <cell r="F1838">
            <v>20062</v>
          </cell>
          <cell r="G1838" t="str">
            <v>CASSANO D'ADDA</v>
          </cell>
          <cell r="H1838" t="str">
            <v>MI</v>
          </cell>
          <cell r="I1838" t="str">
            <v>ITALIA</v>
          </cell>
          <cell r="J1838" t="str">
            <v>339-1753646</v>
          </cell>
        </row>
        <row r="1839">
          <cell r="B1839">
            <v>3190</v>
          </cell>
          <cell r="C1839" t="str">
            <v>NOVI CAFFE' S.N.C.  DI FILIDEI  RICCARDO &amp; CO.</v>
          </cell>
          <cell r="D1839" t="str">
            <v>01469160509 01469160509</v>
          </cell>
          <cell r="E1839" t="str">
            <v>VIA PROV. VICARESE, 278</v>
          </cell>
          <cell r="F1839">
            <v>56016</v>
          </cell>
          <cell r="G1839" t="str">
            <v>SAN GIOVANNI  ALLA VENA</v>
          </cell>
          <cell r="H1839" t="str">
            <v>PI</v>
          </cell>
          <cell r="I1839" t="str">
            <v>ITALIA</v>
          </cell>
          <cell r="J1839" t="str">
            <v>347-9458465</v>
          </cell>
        </row>
        <row r="1840">
          <cell r="B1840">
            <v>4148</v>
          </cell>
          <cell r="C1840" t="str">
            <v>NUOTO BREAK DI  CERCHIA GIANNI</v>
          </cell>
          <cell r="D1840" t="str">
            <v>02991610128 CRCGNN73L30I862 C</v>
          </cell>
          <cell r="E1840" t="str">
            <v>VIA 4 NOVEMBRE, 41</v>
          </cell>
          <cell r="F1840">
            <v>21043</v>
          </cell>
          <cell r="G1840" t="str">
            <v>CASTIGLIONE  OLONA</v>
          </cell>
          <cell r="H1840" t="str">
            <v>VA</v>
          </cell>
          <cell r="I1840" t="str">
            <v>ITALIA</v>
          </cell>
          <cell r="J1840" t="str">
            <v>320-2727496</v>
          </cell>
        </row>
        <row r="1841">
          <cell r="B1841">
            <v>4831</v>
          </cell>
          <cell r="C1841" t="str">
            <v>NUOVA CARB SNC  DI  AUDI  &amp; C.</v>
          </cell>
          <cell r="D1841" t="str">
            <v>03083310015 03083310015</v>
          </cell>
          <cell r="E1841" t="str">
            <v>CORSO GENERALE DELLA  CHIESA, 9</v>
          </cell>
          <cell r="F1841">
            <v>10073</v>
          </cell>
          <cell r="G1841" t="str">
            <v>CIRIE'</v>
          </cell>
          <cell r="H1841" t="str">
            <v>TO</v>
          </cell>
          <cell r="I1841" t="str">
            <v>ITALIA</v>
          </cell>
          <cell r="J1841" t="str">
            <v xml:space="preserve">011-9207653  </v>
          </cell>
        </row>
        <row r="1842">
          <cell r="B1842">
            <v>725</v>
          </cell>
          <cell r="C1842" t="str">
            <v>NUOVA CIGAT S.R.L.</v>
          </cell>
          <cell r="D1842" t="str">
            <v>03844610018 03844610018</v>
          </cell>
          <cell r="E1842" t="str">
            <v>VIA VITTIME DI PIAZZA  FONTANA, 28</v>
          </cell>
          <cell r="F1842">
            <v>10024</v>
          </cell>
          <cell r="G1842" t="str">
            <v>MONCALIERI</v>
          </cell>
          <cell r="H1842" t="str">
            <v>TO</v>
          </cell>
          <cell r="I1842" t="str">
            <v>ITALIA</v>
          </cell>
          <cell r="J1842" t="str">
            <v>011-6204611</v>
          </cell>
        </row>
        <row r="1843">
          <cell r="B1843">
            <v>2878</v>
          </cell>
          <cell r="C1843" t="str">
            <v>NUOVA IDEA  VENDING S.R.L.</v>
          </cell>
          <cell r="D1843" t="str">
            <v>05671570967 05671570967</v>
          </cell>
          <cell r="E1843" t="str">
            <v>VIA FABIO FILZI, 2</v>
          </cell>
          <cell r="F1843">
            <v>20121</v>
          </cell>
          <cell r="G1843" t="str">
            <v>MILANO</v>
          </cell>
          <cell r="H1843" t="str">
            <v>MI</v>
          </cell>
          <cell r="I1843" t="str">
            <v>ITALIA</v>
          </cell>
          <cell r="J1843" t="str">
            <v xml:space="preserve">02-66716113 </v>
          </cell>
        </row>
        <row r="1844">
          <cell r="B1844">
            <v>5846</v>
          </cell>
          <cell r="C1844" t="str">
            <v>NUOVA INSDAB DI  FENOGLIO  GIANPIERO</v>
          </cell>
          <cell r="D1844" t="str">
            <v>02382990048 FNGGPR62E29I037P</v>
          </cell>
          <cell r="E1844" t="str">
            <v>VIA MARENCO, 1</v>
          </cell>
          <cell r="F1844">
            <v>12080</v>
          </cell>
          <cell r="G1844" t="str">
            <v>SAN MICHELE  MONDOVI'</v>
          </cell>
          <cell r="H1844" t="str">
            <v>CN</v>
          </cell>
          <cell r="I1844" t="str">
            <v>ITALIA</v>
          </cell>
          <cell r="J1844" t="str">
            <v>0174-222128</v>
          </cell>
        </row>
        <row r="1845">
          <cell r="B1845">
            <v>124</v>
          </cell>
          <cell r="C1845" t="str">
            <v>NUOVA REDA S.A.S.  DI RICAGNO RUBEN  &amp; C.</v>
          </cell>
          <cell r="D1845" t="str">
            <v>01191020062 01191020062</v>
          </cell>
          <cell r="E1845" t="str">
            <v>STRADA PER ACQUI, 66</v>
          </cell>
          <cell r="F1845">
            <v>15122</v>
          </cell>
          <cell r="G1845" t="str">
            <v>ALESSANDRIA</v>
          </cell>
          <cell r="H1845" t="str">
            <v>AL</v>
          </cell>
          <cell r="I1845" t="str">
            <v>ITALIA</v>
          </cell>
          <cell r="J1845" t="str">
            <v>0131-344469</v>
          </cell>
        </row>
        <row r="1846">
          <cell r="B1846">
            <v>2222</v>
          </cell>
          <cell r="C1846" t="str">
            <v>NUOVA SA.BO. PLASTIC DI GIRARDI ANGELO &amp; C. SNC</v>
          </cell>
          <cell r="E1846" t="str">
            <v>VIA PER BORGOMANERO,11</v>
          </cell>
          <cell r="F1846">
            <v>28060</v>
          </cell>
          <cell r="G1846" t="str">
            <v>COMIGNANO</v>
          </cell>
          <cell r="H1846" t="str">
            <v>NO</v>
          </cell>
          <cell r="I1846" t="str">
            <v>ITALIA</v>
          </cell>
          <cell r="J1846" t="str">
            <v>032-250237</v>
          </cell>
        </row>
        <row r="1847">
          <cell r="B1847">
            <v>6617</v>
          </cell>
          <cell r="C1847" t="str">
            <v>NUOVA STAR S.R.L.</v>
          </cell>
          <cell r="D1847" t="str">
            <v>02501300996 02501300996</v>
          </cell>
          <cell r="E1847" t="str">
            <v>PIAZZA DELLA VITTORIA,  12/19</v>
          </cell>
          <cell r="F1847">
            <v>16121</v>
          </cell>
          <cell r="G1847" t="str">
            <v>GENOVA</v>
          </cell>
          <cell r="H1847" t="str">
            <v>GE</v>
          </cell>
          <cell r="I1847" t="str">
            <v>ITALIA</v>
          </cell>
          <cell r="J1847" t="str">
            <v>010-5451782</v>
          </cell>
        </row>
        <row r="1848">
          <cell r="B1848">
            <v>6835</v>
          </cell>
          <cell r="C1848" t="str">
            <v>NUOVI ORIZZONTI  S.A.S.</v>
          </cell>
          <cell r="D1848" t="str">
            <v>10203740963</v>
          </cell>
          <cell r="E1848" t="str">
            <v>CORSO MATTEOTTI, 161</v>
          </cell>
          <cell r="F1848">
            <v>20831</v>
          </cell>
          <cell r="G1848" t="str">
            <v>SEREGNO</v>
          </cell>
          <cell r="H1848" t="str">
            <v>MB</v>
          </cell>
          <cell r="I1848" t="str">
            <v>ITALIA</v>
          </cell>
          <cell r="J1848" t="str">
            <v>333-1911561</v>
          </cell>
        </row>
        <row r="1849">
          <cell r="B1849">
            <v>6898</v>
          </cell>
          <cell r="C1849" t="str">
            <v>NUOVO CENTRO  PORTE E FINESTRE  SRLS</v>
          </cell>
          <cell r="D1849" t="str">
            <v>02384110991</v>
          </cell>
          <cell r="E1849" t="str">
            <v>VIA BOLZANETO, 6R</v>
          </cell>
          <cell r="F1849">
            <v>16162</v>
          </cell>
          <cell r="G1849" t="str">
            <v>GENOVA</v>
          </cell>
          <cell r="H1849" t="str">
            <v>GE</v>
          </cell>
          <cell r="I1849" t="str">
            <v>ITALIA</v>
          </cell>
          <cell r="J1849" t="str">
            <v>345-7934754</v>
          </cell>
        </row>
        <row r="1850">
          <cell r="B1850">
            <v>3253</v>
          </cell>
          <cell r="C1850" t="str">
            <v>O.EMME.DI  S.A.S DI ORBECH MAURO  &amp; C.</v>
          </cell>
          <cell r="D1850" t="str">
            <v>06314340016 06314340016</v>
          </cell>
          <cell r="E1850" t="str">
            <v>STRADA DELLA RUL, 36</v>
          </cell>
          <cell r="F1850">
            <v>10090</v>
          </cell>
          <cell r="G1850" t="str">
            <v>BRUINO</v>
          </cell>
          <cell r="H1850" t="str">
            <v>TO</v>
          </cell>
          <cell r="I1850" t="str">
            <v>ITALIA</v>
          </cell>
          <cell r="J1850" t="str">
            <v>011-9084062</v>
          </cell>
        </row>
        <row r="1851">
          <cell r="B1851">
            <v>4769</v>
          </cell>
          <cell r="C1851" t="str">
            <v>O.M.R. SAS DI  RESTELLI ROBERTO  E C.</v>
          </cell>
          <cell r="D1851" t="str">
            <v>02485480137 02485480137</v>
          </cell>
          <cell r="E1851" t="str">
            <v>VIA CADORNA, 93/C</v>
          </cell>
          <cell r="F1851">
            <v>22078</v>
          </cell>
          <cell r="G1851" t="str">
            <v>TURATE</v>
          </cell>
          <cell r="H1851" t="str">
            <v>CO</v>
          </cell>
          <cell r="I1851" t="str">
            <v>ITALIA</v>
          </cell>
          <cell r="J1851" t="str">
            <v>02-96480702</v>
          </cell>
        </row>
        <row r="1852">
          <cell r="B1852">
            <v>5882</v>
          </cell>
          <cell r="C1852" t="str">
            <v>O.M.S. S.R.L.</v>
          </cell>
          <cell r="D1852" t="str">
            <v>05857310014 05857310014</v>
          </cell>
          <cell r="E1852" t="str">
            <v>VIALE DEI MARESCHI, 4</v>
          </cell>
          <cell r="F1852">
            <v>10051</v>
          </cell>
          <cell r="G1852" t="str">
            <v>AVIGLIANA</v>
          </cell>
          <cell r="H1852" t="str">
            <v>TO</v>
          </cell>
          <cell r="I1852" t="str">
            <v>ITALIA</v>
          </cell>
          <cell r="J1852" t="str">
            <v>011-9367260</v>
          </cell>
        </row>
        <row r="1853">
          <cell r="B1853">
            <v>5359</v>
          </cell>
          <cell r="C1853" t="str">
            <v>OASI CAFFE' S.A.S.  DI BRIGATI  GRAZIELLA &amp; C.</v>
          </cell>
          <cell r="D1853" t="str">
            <v>08231670012 08231670012</v>
          </cell>
          <cell r="E1853" t="str">
            <v>VIA TORINO, 168</v>
          </cell>
          <cell r="F1853">
            <v>10093</v>
          </cell>
          <cell r="G1853" t="str">
            <v>COLLEGNO</v>
          </cell>
          <cell r="H1853" t="str">
            <v>TO</v>
          </cell>
          <cell r="I1853" t="str">
            <v>ITALIA</v>
          </cell>
          <cell r="J1853" t="str">
            <v>011-4038505</v>
          </cell>
        </row>
        <row r="1854">
          <cell r="B1854">
            <v>7491</v>
          </cell>
          <cell r="C1854" t="str">
            <v>OASI DEL CAFFE' DI  CICCHITTI NICOLA</v>
          </cell>
          <cell r="D1854" t="str">
            <v>11555150967 CCCNCL69P06H264 G</v>
          </cell>
          <cell r="E1854" t="str">
            <v>VIA XXV APRILE, 3</v>
          </cell>
          <cell r="F1854">
            <v>20009</v>
          </cell>
          <cell r="G1854" t="str">
            <v>VITTUONE</v>
          </cell>
          <cell r="H1854" t="str">
            <v>MI</v>
          </cell>
          <cell r="I1854" t="str">
            <v>ITALIA</v>
          </cell>
          <cell r="J1854" t="str">
            <v>351-6609819</v>
          </cell>
        </row>
        <row r="1855">
          <cell r="B1855">
            <v>3274</v>
          </cell>
          <cell r="C1855" t="str">
            <v>OASI S.R.L. DI  MASOERO EZIO</v>
          </cell>
          <cell r="D1855" t="str">
            <v>01358430054</v>
          </cell>
          <cell r="E1855" t="str">
            <v>VIA F.LLI VICARI, 194</v>
          </cell>
          <cell r="F1855">
            <v>14054</v>
          </cell>
          <cell r="G1855" t="str">
            <v>CASTAGNOLE  LANZE</v>
          </cell>
          <cell r="H1855" t="str">
            <v>AT</v>
          </cell>
          <cell r="I1855" t="str">
            <v>ITALIA</v>
          </cell>
          <cell r="J1855" t="str">
            <v xml:space="preserve">0141-878327 </v>
          </cell>
        </row>
        <row r="1856">
          <cell r="B1856">
            <v>4877</v>
          </cell>
          <cell r="C1856" t="str">
            <v>OASIS DI DEBORAH  IACOPINI &amp; C. S.A. S.</v>
          </cell>
          <cell r="D1856" t="str">
            <v>03920230160 03920230160</v>
          </cell>
          <cell r="E1856" t="str">
            <v>VIA C.A. DALLA CHIESA,  13</v>
          </cell>
          <cell r="F1856">
            <v>24048</v>
          </cell>
          <cell r="G1856" t="str">
            <v>TREVIOLO</v>
          </cell>
          <cell r="H1856" t="str">
            <v>BG</v>
          </cell>
          <cell r="I1856" t="str">
            <v>ITALIA</v>
          </cell>
          <cell r="J1856" t="str">
            <v>035-203276</v>
          </cell>
        </row>
        <row r="1857">
          <cell r="B1857">
            <v>7269</v>
          </cell>
          <cell r="C1857" t="str">
            <v>OBERRAUCH TOBIAS</v>
          </cell>
          <cell r="D1857" t="str">
            <v>BRRTBS97C25B160 O</v>
          </cell>
          <cell r="E1857" t="str">
            <v>VIA GUDON 33/A</v>
          </cell>
          <cell r="F1857">
            <v>39043</v>
          </cell>
          <cell r="G1857" t="str">
            <v>CHIUSA</v>
          </cell>
          <cell r="H1857" t="str">
            <v>BZ</v>
          </cell>
          <cell r="I1857" t="str">
            <v>ITALIA</v>
          </cell>
          <cell r="J1857" t="str">
            <v>333-7173282</v>
          </cell>
        </row>
        <row r="1858">
          <cell r="B1858">
            <v>3420</v>
          </cell>
          <cell r="C1858" t="str">
            <v>OBERT MARCO</v>
          </cell>
          <cell r="D1858" t="str">
            <v>09889430014 BRTMRC89S13D208 Y</v>
          </cell>
          <cell r="E1858" t="str">
            <v>VIA EINAUDI, 65</v>
          </cell>
          <cell r="F1858">
            <v>10084</v>
          </cell>
          <cell r="G1858" t="str">
            <v>FORNO  CANAVESE</v>
          </cell>
          <cell r="H1858" t="str">
            <v>TO</v>
          </cell>
          <cell r="I1858" t="str">
            <v>ITALIA</v>
          </cell>
          <cell r="J1858" t="str">
            <v>348-9964819</v>
          </cell>
        </row>
        <row r="1859">
          <cell r="B1859">
            <v>7128</v>
          </cell>
          <cell r="C1859" t="str">
            <v>OBIALERO S.R.L.</v>
          </cell>
          <cell r="D1859" t="str">
            <v>12140570016 12140570016</v>
          </cell>
          <cell r="E1859" t="str">
            <v>VIA SOMMEILLER, 2</v>
          </cell>
          <cell r="F1859">
            <v>10064</v>
          </cell>
          <cell r="G1859" t="str">
            <v>PINEROLO</v>
          </cell>
          <cell r="H1859" t="str">
            <v>TO</v>
          </cell>
          <cell r="I1859" t="str">
            <v>ITALIA</v>
          </cell>
          <cell r="J1859" t="str">
            <v>347-6017762</v>
          </cell>
        </row>
        <row r="1860">
          <cell r="B1860">
            <v>4736</v>
          </cell>
          <cell r="C1860" t="str">
            <v>OCCELLI MARCO</v>
          </cell>
          <cell r="D1860" t="str">
            <v>03204820041 CCLMRC81D14D20 5N</v>
          </cell>
          <cell r="E1860" t="str">
            <v>REGIONE BRIGNOLA,  215/A</v>
          </cell>
          <cell r="F1860">
            <v>12044</v>
          </cell>
          <cell r="G1860" t="str">
            <v>CENTALLO</v>
          </cell>
          <cell r="H1860" t="str">
            <v>CN</v>
          </cell>
          <cell r="I1860" t="str">
            <v>ITALIA</v>
          </cell>
          <cell r="J1860" t="str">
            <v>339-1705496</v>
          </cell>
        </row>
        <row r="1861">
          <cell r="B1861">
            <v>1298</v>
          </cell>
          <cell r="C1861" t="str">
            <v>ODAC S.R.L.</v>
          </cell>
          <cell r="D1861" t="str">
            <v>02979820103 02979820103</v>
          </cell>
          <cell r="E1861" t="str">
            <v>CORSO ANDREA  PODESTA', 12/B</v>
          </cell>
          <cell r="F1861">
            <v>16128</v>
          </cell>
          <cell r="G1861" t="str">
            <v>GENOVA</v>
          </cell>
          <cell r="H1861" t="str">
            <v>GE</v>
          </cell>
          <cell r="I1861" t="str">
            <v>ITALIA</v>
          </cell>
          <cell r="J1861" t="str">
            <v>010-7450769</v>
          </cell>
        </row>
        <row r="1862">
          <cell r="B1862">
            <v>6691</v>
          </cell>
          <cell r="C1862" t="str">
            <v>OFFEE SNC DI  BOGONI ANDREA E  C.</v>
          </cell>
          <cell r="D1862" t="str">
            <v>11300830012</v>
          </cell>
          <cell r="E1862" t="str">
            <v>VIA NOASCA, 19</v>
          </cell>
          <cell r="F1862">
            <v>10148</v>
          </cell>
          <cell r="G1862" t="str">
            <v>TORINO</v>
          </cell>
          <cell r="H1862" t="str">
            <v>TO</v>
          </cell>
          <cell r="I1862" t="str">
            <v>ITALIA</v>
          </cell>
          <cell r="J1862" t="str">
            <v>011-0361125</v>
          </cell>
        </row>
        <row r="1863">
          <cell r="B1863">
            <v>7862</v>
          </cell>
          <cell r="C1863" t="str">
            <v>OFFICINA DELLA CIALDA DI FERRARO IULIANA</v>
          </cell>
          <cell r="E1863" t="str">
            <v>VIA MARTIRI DELLA LIBERTA', 10</v>
          </cell>
          <cell r="F1863">
            <v>26010</v>
          </cell>
          <cell r="G1863" t="str">
            <v>ROBECCO D'OGLIO</v>
          </cell>
          <cell r="H1863" t="str">
            <v>CR</v>
          </cell>
          <cell r="I1863" t="str">
            <v>ITALIA</v>
          </cell>
          <cell r="J1863" t="str">
            <v>345-2761594</v>
          </cell>
        </row>
        <row r="1864">
          <cell r="B1864">
            <v>7902</v>
          </cell>
          <cell r="C1864" t="str">
            <v>OFFICINA DELLA CIALDA DI FERRARO IULIANA</v>
          </cell>
          <cell r="E1864" t="str">
            <v>VIA VITTORIO VENETO, 72</v>
          </cell>
          <cell r="F1864">
            <v>25042</v>
          </cell>
          <cell r="G1864" t="str">
            <v>BORNO</v>
          </cell>
          <cell r="H1864" t="str">
            <v>BS</v>
          </cell>
          <cell r="I1864" t="str">
            <v>ITALIA</v>
          </cell>
          <cell r="J1864" t="str">
            <v>333-8378720</v>
          </cell>
        </row>
        <row r="1865">
          <cell r="B1865">
            <v>5182</v>
          </cell>
          <cell r="C1865" t="str">
            <v>OFFISERVICE S. A.S. DI A. TESTI &amp;  C.</v>
          </cell>
          <cell r="D1865" t="str">
            <v>05075050012 05075050012</v>
          </cell>
          <cell r="E1865" t="str">
            <v>VIA ROSSINI, 1/E</v>
          </cell>
          <cell r="F1865">
            <v>10124</v>
          </cell>
          <cell r="G1865" t="str">
            <v>TORINO</v>
          </cell>
          <cell r="H1865" t="str">
            <v>TO</v>
          </cell>
          <cell r="I1865" t="str">
            <v>ITALIA</v>
          </cell>
          <cell r="J1865" t="str">
            <v>011-2478713</v>
          </cell>
        </row>
        <row r="1866">
          <cell r="B1866">
            <v>6560</v>
          </cell>
          <cell r="C1866" t="str">
            <v>OLIVERIO FRANCO</v>
          </cell>
          <cell r="D1866" t="str">
            <v>09910780965 LVRFNC60D22F205I</v>
          </cell>
          <cell r="E1866" t="str">
            <v>VIA VAL MAIRA, 12</v>
          </cell>
          <cell r="F1866">
            <v>20162</v>
          </cell>
          <cell r="G1866" t="str">
            <v>MILANO</v>
          </cell>
          <cell r="H1866" t="str">
            <v>MI</v>
          </cell>
          <cell r="I1866" t="str">
            <v>ITALIA</v>
          </cell>
          <cell r="J1866" t="str">
            <v>338-5268506</v>
          </cell>
        </row>
        <row r="1867">
          <cell r="B1867">
            <v>4709</v>
          </cell>
          <cell r="C1867" t="str">
            <v>OMEDE' PIERO  DITTA INDIVIDUALE</v>
          </cell>
          <cell r="D1867" t="str">
            <v>10774580012 MDOPRI48P05A312 F</v>
          </cell>
          <cell r="E1867" t="str">
            <v>C.SO SIRACUSA, 120</v>
          </cell>
          <cell r="F1867">
            <v>10136</v>
          </cell>
          <cell r="G1867" t="str">
            <v>TORINO</v>
          </cell>
          <cell r="H1867" t="str">
            <v>TO</v>
          </cell>
          <cell r="I1867" t="str">
            <v>ITALIA</v>
          </cell>
          <cell r="J1867" t="str">
            <v>366-5069518</v>
          </cell>
        </row>
        <row r="1868">
          <cell r="B1868">
            <v>4964</v>
          </cell>
          <cell r="C1868" t="str">
            <v>OMEGA F.LLI SERATI  DI SERATI  GIANCARLO</v>
          </cell>
          <cell r="D1868" t="str">
            <v>03556320129 SRTGCR70A22B300 B</v>
          </cell>
          <cell r="E1868" t="str">
            <v>VIA GASPAROLI, 201</v>
          </cell>
          <cell r="F1868">
            <v>21012</v>
          </cell>
          <cell r="G1868" t="str">
            <v>CASSANO  MAGNAGO</v>
          </cell>
          <cell r="H1868" t="str">
            <v>VA</v>
          </cell>
          <cell r="I1868" t="str">
            <v>ITALIA</v>
          </cell>
          <cell r="J1868" t="str">
            <v xml:space="preserve">0331-209313 </v>
          </cell>
        </row>
        <row r="1869">
          <cell r="B1869">
            <v>83</v>
          </cell>
          <cell r="C1869" t="str">
            <v>OMIPA S.P.A.</v>
          </cell>
          <cell r="D1869" t="str">
            <v>01240650125 01240650125</v>
          </cell>
          <cell r="E1869" t="str">
            <v>VIA MADDALENA, 7</v>
          </cell>
          <cell r="F1869">
            <v>21040</v>
          </cell>
          <cell r="G1869" t="str">
            <v>MORAZZONE</v>
          </cell>
          <cell r="H1869" t="str">
            <v>VA</v>
          </cell>
          <cell r="I1869" t="str">
            <v>ITALIA</v>
          </cell>
          <cell r="J1869" t="str">
            <v>0332-461400</v>
          </cell>
        </row>
        <row r="1870">
          <cell r="B1870">
            <v>4807</v>
          </cell>
          <cell r="C1870" t="str">
            <v>ONE COOP</v>
          </cell>
          <cell r="D1870" t="str">
            <v>08686780969 08686780969</v>
          </cell>
          <cell r="E1870" t="str">
            <v>VIALE DEI MARESCHI,  18/A</v>
          </cell>
          <cell r="F1870">
            <v>10051</v>
          </cell>
          <cell r="G1870" t="str">
            <v>AVIGLIANA</v>
          </cell>
          <cell r="H1870" t="str">
            <v>TO</v>
          </cell>
          <cell r="I1870" t="str">
            <v>ITALIA</v>
          </cell>
          <cell r="J1870" t="str">
            <v>331-3947463</v>
          </cell>
        </row>
        <row r="1871">
          <cell r="B1871">
            <v>3612</v>
          </cell>
          <cell r="C1871" t="str">
            <v>ONE S.A.S. DI ANNA  TARUFFI &amp; C.</v>
          </cell>
          <cell r="D1871" t="str">
            <v>02971731209 02971731209</v>
          </cell>
          <cell r="E1871" t="str">
            <v>VIA  ALFREDO TESTONI,  5H</v>
          </cell>
          <cell r="F1871">
            <v>40123</v>
          </cell>
          <cell r="G1871" t="str">
            <v>BOLOGNA</v>
          </cell>
          <cell r="H1871" t="str">
            <v>BO</v>
          </cell>
          <cell r="I1871" t="str">
            <v>ITALIA</v>
          </cell>
          <cell r="J1871" t="str">
            <v xml:space="preserve">392-5521998 </v>
          </cell>
        </row>
        <row r="1872">
          <cell r="B1872">
            <v>3695</v>
          </cell>
          <cell r="C1872" t="str">
            <v>ONESHOT S.N.C.  DI BELLAVITA  MARCO &amp; C.</v>
          </cell>
          <cell r="D1872" t="str">
            <v>03639630163 03639630163</v>
          </cell>
          <cell r="E1872" t="str">
            <v>VIA GRUMELLO, 41</v>
          </cell>
          <cell r="F1872">
            <v>20060</v>
          </cell>
          <cell r="G1872" t="str">
            <v>ALZANO  LOMBARDO</v>
          </cell>
          <cell r="H1872" t="str">
            <v>BG</v>
          </cell>
          <cell r="I1872" t="str">
            <v>ITALIA</v>
          </cell>
          <cell r="J1872" t="str">
            <v>335-8000317</v>
          </cell>
        </row>
        <row r="1873">
          <cell r="B1873">
            <v>4917</v>
          </cell>
          <cell r="C1873" t="str">
            <v>ONLEADER SAGL</v>
          </cell>
          <cell r="D1873" t="str">
            <v>317316826</v>
          </cell>
          <cell r="E1873" t="str">
            <v>VIA S.FRANSCINI, 2</v>
          </cell>
          <cell r="F1873">
            <v>6833</v>
          </cell>
          <cell r="G1873" t="str">
            <v>VACALLO -  SVIZZERA -</v>
          </cell>
          <cell r="I1873" t="str">
            <v>SVIZZERA</v>
          </cell>
          <cell r="J1873" t="str">
            <v>0041-0786368470</v>
          </cell>
        </row>
        <row r="1874">
          <cell r="B1874">
            <v>6922</v>
          </cell>
          <cell r="C1874" t="str">
            <v>OPEN DI ACTIS  FOGLIZZO MARTA</v>
          </cell>
          <cell r="D1874" t="str">
            <v>12212670017 CTSMRT87R48C665 M</v>
          </cell>
          <cell r="E1874" t="str">
            <v>VIA OSLAVIA - FRAZ.  RODALLO 2</v>
          </cell>
          <cell r="F1874">
            <v>10014</v>
          </cell>
          <cell r="G1874" t="str">
            <v>CALUSO</v>
          </cell>
          <cell r="H1874" t="str">
            <v>TO</v>
          </cell>
          <cell r="I1874" t="str">
            <v>ITALIA</v>
          </cell>
          <cell r="J1874" t="str">
            <v>347-9407257</v>
          </cell>
        </row>
        <row r="1875">
          <cell r="B1875">
            <v>6431</v>
          </cell>
          <cell r="C1875" t="str">
            <v>OPEN/366 DI  MIREILLE MATHIEU</v>
          </cell>
          <cell r="D1875" t="str">
            <v>02176860993 MTHMLL78B61C621 B</v>
          </cell>
          <cell r="E1875" t="str">
            <v>VIA GRAMSCI, 97R</v>
          </cell>
          <cell r="F1875">
            <v>16126</v>
          </cell>
          <cell r="G1875" t="str">
            <v>GENOVA</v>
          </cell>
          <cell r="H1875" t="str">
            <v>GE</v>
          </cell>
          <cell r="I1875" t="str">
            <v>ITALIA</v>
          </cell>
          <cell r="J1875" t="str">
            <v>333-3238794</v>
          </cell>
        </row>
        <row r="1876">
          <cell r="B1876">
            <v>6923</v>
          </cell>
          <cell r="C1876" t="str">
            <v>OPENSHOP 24 DI  ALPAR ELIF</v>
          </cell>
          <cell r="D1876" t="str">
            <v>02780100216 LPRLFE76R57Z243T</v>
          </cell>
          <cell r="E1876" t="str">
            <v>VIA ROMA 167/A</v>
          </cell>
          <cell r="F1876">
            <v>39012</v>
          </cell>
          <cell r="G1876" t="str">
            <v>MERANO</v>
          </cell>
          <cell r="H1876" t="str">
            <v>BZ</v>
          </cell>
          <cell r="I1876" t="str">
            <v>ITALIA</v>
          </cell>
          <cell r="J1876" t="str">
            <v>342-8810375</v>
          </cell>
        </row>
        <row r="1877">
          <cell r="B1877">
            <v>5227</v>
          </cell>
          <cell r="C1877" t="str">
            <v>OPERA SALESIANA  REBAUDENGO</v>
          </cell>
          <cell r="D1877" t="str">
            <v>00516410016 00516410016</v>
          </cell>
          <cell r="E1877" t="str">
            <v>PIAZZA REBAUDENGO, 22</v>
          </cell>
          <cell r="F1877">
            <v>10155</v>
          </cell>
          <cell r="G1877" t="str">
            <v>TORINO</v>
          </cell>
          <cell r="H1877" t="str">
            <v>TO</v>
          </cell>
          <cell r="I1877" t="str">
            <v>ITALIA</v>
          </cell>
          <cell r="J1877" t="str">
            <v>011-2429711</v>
          </cell>
        </row>
        <row r="1878">
          <cell r="B1878">
            <v>3654</v>
          </cell>
          <cell r="C1878" t="str">
            <v>OR.SI. S.A.S. DI  ORNELLA PRANDINI  &amp; C.</v>
          </cell>
          <cell r="D1878" t="str">
            <v>06585520965 06585520965</v>
          </cell>
          <cell r="E1878" t="str">
            <v>VIA TAORMINA, 30</v>
          </cell>
          <cell r="F1878">
            <v>20159</v>
          </cell>
          <cell r="G1878" t="str">
            <v>MILANO</v>
          </cell>
          <cell r="H1878" t="str">
            <v>MI</v>
          </cell>
          <cell r="I1878" t="str">
            <v>ITALIA</v>
          </cell>
          <cell r="J1878" t="str">
            <v>377-4044294</v>
          </cell>
        </row>
        <row r="1879">
          <cell r="B1879">
            <v>3908</v>
          </cell>
          <cell r="C1879" t="str">
            <v>OR.VE.CA S.R.L.</v>
          </cell>
          <cell r="D1879" t="str">
            <v>01043711009 02325840581</v>
          </cell>
          <cell r="E1879" t="str">
            <v>VIA STELLA POLARE, 15</v>
          </cell>
          <cell r="F1879">
            <v>13</v>
          </cell>
          <cell r="G1879" t="str">
            <v>SANTA LUCIA DI  FONTENUOVA</v>
          </cell>
          <cell r="H1879" t="str">
            <v>RM</v>
          </cell>
          <cell r="I1879" t="str">
            <v>ITALIA</v>
          </cell>
          <cell r="J1879" t="str">
            <v>06-8270600</v>
          </cell>
        </row>
        <row r="1880">
          <cell r="B1880">
            <v>117</v>
          </cell>
          <cell r="C1880" t="str">
            <v>ORASESTA S.P.A.</v>
          </cell>
          <cell r="D1880" t="str">
            <v>07621050157 00761070168</v>
          </cell>
          <cell r="E1880" t="str">
            <v>VIA OSLAVIA, 17/8</v>
          </cell>
          <cell r="F1880">
            <v>20134</v>
          </cell>
          <cell r="G1880" t="str">
            <v>MILANO</v>
          </cell>
          <cell r="H1880" t="str">
            <v>MI</v>
          </cell>
          <cell r="I1880" t="str">
            <v>ITALIA</v>
          </cell>
          <cell r="J1880" t="str">
            <v>0331-378000</v>
          </cell>
        </row>
        <row r="1881">
          <cell r="B1881">
            <v>118</v>
          </cell>
          <cell r="C1881" t="str">
            <v>ORASESTA S.P.A.</v>
          </cell>
          <cell r="E1881" t="str">
            <v>VIA ALCIDE DE GASPERI, 93/A</v>
          </cell>
          <cell r="F1881">
            <v>21057</v>
          </cell>
          <cell r="G1881" t="str">
            <v>OLGIATE OLONA</v>
          </cell>
          <cell r="H1881" t="str">
            <v>VA</v>
          </cell>
          <cell r="I1881" t="str">
            <v>ITALIA</v>
          </cell>
        </row>
        <row r="1882">
          <cell r="B1882">
            <v>119</v>
          </cell>
          <cell r="C1882" t="str">
            <v>ORASESTA S.P.A.</v>
          </cell>
          <cell r="E1882" t="str">
            <v>VIALE EUROPA, 9</v>
          </cell>
          <cell r="F1882">
            <v>13012</v>
          </cell>
          <cell r="G1882" t="str">
            <v>BORGO VERCELLI</v>
          </cell>
          <cell r="H1882" t="str">
            <v>VC</v>
          </cell>
          <cell r="I1882" t="str">
            <v>ITALIA</v>
          </cell>
        </row>
        <row r="1883">
          <cell r="B1883">
            <v>120</v>
          </cell>
          <cell r="C1883" t="str">
            <v>ORASESTA S.P.A.</v>
          </cell>
          <cell r="E1883" t="str">
            <v xml:space="preserve">VIA AUSTRIA,4 </v>
          </cell>
          <cell r="F1883">
            <v>35127</v>
          </cell>
          <cell r="G1883" t="str">
            <v>PADOVA</v>
          </cell>
          <cell r="H1883" t="str">
            <v>PD</v>
          </cell>
          <cell r="I1883" t="str">
            <v>ITALIA</v>
          </cell>
        </row>
        <row r="1884">
          <cell r="B1884">
            <v>121</v>
          </cell>
          <cell r="C1884" t="str">
            <v>ORASESTA S.P.A.</v>
          </cell>
          <cell r="E1884" t="str">
            <v>VIA DELLE SCIENZA, 10</v>
          </cell>
          <cell r="F1884">
            <v>30</v>
          </cell>
          <cell r="G1884" t="str">
            <v>SAN CESAREO</v>
          </cell>
          <cell r="H1884" t="str">
            <v>RM</v>
          </cell>
          <cell r="I1884" t="str">
            <v>ITALIA</v>
          </cell>
        </row>
        <row r="1885">
          <cell r="B1885">
            <v>115</v>
          </cell>
          <cell r="C1885" t="str">
            <v>ORASESTA S.P.A. C/O RICCARDI</v>
          </cell>
          <cell r="E1885" t="str">
            <v>VIA GIACOMO PUCCINI</v>
          </cell>
          <cell r="F1885">
            <v>29121</v>
          </cell>
          <cell r="G1885" t="str">
            <v>PIACENZA</v>
          </cell>
          <cell r="H1885" t="str">
            <v>PC</v>
          </cell>
        </row>
        <row r="1886">
          <cell r="B1886">
            <v>7497</v>
          </cell>
          <cell r="C1886" t="str">
            <v>ORAZI PIERGIORGIO</v>
          </cell>
          <cell r="D1886" t="str">
            <v>RZOPGR74T17H501 I</v>
          </cell>
          <cell r="E1886" t="str">
            <v>VIA XXV APRILE 57</v>
          </cell>
          <cell r="F1886">
            <v>60122</v>
          </cell>
          <cell r="G1886" t="str">
            <v>ANCONA</v>
          </cell>
          <cell r="H1886" t="str">
            <v>AN</v>
          </cell>
          <cell r="I1886" t="str">
            <v>ITALIA</v>
          </cell>
          <cell r="J1886" t="str">
            <v>348-8284267</v>
          </cell>
        </row>
        <row r="1887">
          <cell r="B1887">
            <v>5763</v>
          </cell>
          <cell r="C1887" t="str">
            <v>ORENGIA DI  ORENGIA  GIANMARIO</v>
          </cell>
          <cell r="D1887" t="str">
            <v>05429800013 RNGGMR54S11I970 O</v>
          </cell>
          <cell r="E1887" t="str">
            <v>VIA GEN.BERTOLDI, 1</v>
          </cell>
          <cell r="F1887">
            <v>10019</v>
          </cell>
          <cell r="G1887" t="str">
            <v>STRAMBINO</v>
          </cell>
          <cell r="H1887" t="str">
            <v>TO</v>
          </cell>
          <cell r="I1887" t="str">
            <v>ITALIA</v>
          </cell>
          <cell r="J1887" t="str">
            <v>0125-637071</v>
          </cell>
        </row>
        <row r="1888">
          <cell r="B1888">
            <v>4527</v>
          </cell>
          <cell r="C1888" t="str">
            <v>ORFEO MULTIMEDIA MEMBER CINEMASTORE GROUP</v>
          </cell>
          <cell r="D1888" t="str">
            <v>03183070048 GRLCRL61H06D205 W</v>
          </cell>
          <cell r="E1888" t="str">
            <v>LARGO ARGENTERA, 1</v>
          </cell>
          <cell r="F1888">
            <v>12011</v>
          </cell>
          <cell r="G1888" t="str">
            <v>BORGO SAN  DALMAZZO</v>
          </cell>
          <cell r="H1888" t="str">
            <v>CN</v>
          </cell>
          <cell r="I1888" t="str">
            <v>ITALIA</v>
          </cell>
          <cell r="J1888" t="str">
            <v>393-1564529</v>
          </cell>
        </row>
        <row r="1889">
          <cell r="B1889">
            <v>4444</v>
          </cell>
          <cell r="C1889" t="str">
            <v>ORIENTAL CAFFE' S. N.C.</v>
          </cell>
          <cell r="D1889" t="str">
            <v>01267050472 01267050472</v>
          </cell>
          <cell r="E1889" t="str">
            <v>VIA STATALE, 20</v>
          </cell>
          <cell r="F1889">
            <v>51039</v>
          </cell>
          <cell r="G1889" t="str">
            <v>OLMI/QUARRATA</v>
          </cell>
          <cell r="H1889" t="str">
            <v>PT</v>
          </cell>
          <cell r="I1889" t="str">
            <v>ITALIA</v>
          </cell>
          <cell r="J1889" t="str">
            <v>0573-705050</v>
          </cell>
        </row>
        <row r="1890">
          <cell r="B1890">
            <v>4524</v>
          </cell>
          <cell r="C1890" t="str">
            <v>ORIGINAL COFFEE  DI SANDIONIGI  ROBERTO</v>
          </cell>
          <cell r="D1890" t="str">
            <v>03498200132 SNDRRT68A31D416 B</v>
          </cell>
          <cell r="E1890" t="str">
            <v>VIA DALMAZIA, 18/B</v>
          </cell>
          <cell r="F1890">
            <v>22037</v>
          </cell>
          <cell r="G1890" t="str">
            <v>PONTE LAMBRO</v>
          </cell>
          <cell r="H1890" t="str">
            <v>CO</v>
          </cell>
          <cell r="I1890" t="str">
            <v>ITALIA</v>
          </cell>
        </row>
        <row r="1891">
          <cell r="B1891">
            <v>4868</v>
          </cell>
          <cell r="C1891" t="str">
            <v>ORIZONT LINE SAGL</v>
          </cell>
          <cell r="D1891" t="str">
            <v>03506210123 03506210123</v>
          </cell>
          <cell r="E1891" t="str">
            <v>VIA BUTTI 42/44</v>
          </cell>
          <cell r="F1891">
            <v>21050</v>
          </cell>
          <cell r="G1891" t="str">
            <v>PORTO CERESIO</v>
          </cell>
          <cell r="H1891" t="str">
            <v>VA</v>
          </cell>
          <cell r="I1891" t="str">
            <v>ITALIA</v>
          </cell>
          <cell r="J1891" t="str">
            <v xml:space="preserve">0331-964806 </v>
          </cell>
        </row>
        <row r="1892">
          <cell r="B1892">
            <v>4798</v>
          </cell>
          <cell r="C1892" t="str">
            <v>ORO NERO COFFEE  STORE DI  ESPOSITO GUERINO</v>
          </cell>
          <cell r="D1892" t="str">
            <v>11361380014 SPSGRN80L06B774I</v>
          </cell>
          <cell r="E1892" t="str">
            <v>VIA SAN MARINO, 84</v>
          </cell>
          <cell r="F1892">
            <v>10137</v>
          </cell>
          <cell r="G1892" t="str">
            <v>TORINO</v>
          </cell>
          <cell r="H1892" t="str">
            <v>TO</v>
          </cell>
          <cell r="I1892" t="str">
            <v>ITALIA</v>
          </cell>
          <cell r="J1892" t="str">
            <v>340-9592894</v>
          </cell>
        </row>
        <row r="1893">
          <cell r="B1893">
            <v>6512</v>
          </cell>
          <cell r="C1893" t="str">
            <v>ORORO VENDING S. R.L.</v>
          </cell>
          <cell r="D1893" t="str">
            <v>03736210984 03736210984</v>
          </cell>
          <cell r="E1893" t="str">
            <v>VIA SOLFERINO, 12</v>
          </cell>
          <cell r="F1893">
            <v>25122</v>
          </cell>
          <cell r="G1893" t="str">
            <v>BRESCIA</v>
          </cell>
          <cell r="H1893" t="str">
            <v>BS</v>
          </cell>
          <cell r="I1893" t="str">
            <v>ITALIA</v>
          </cell>
          <cell r="J1893" t="str">
            <v>030-9380520</v>
          </cell>
        </row>
        <row r="1894">
          <cell r="B1894">
            <v>6684</v>
          </cell>
          <cell r="C1894" t="str">
            <v>ORTOLANDIA DI  BERTI NICOLA</v>
          </cell>
          <cell r="D1894" t="str">
            <v>01513830990 BRTNCL66T09C621 F</v>
          </cell>
          <cell r="E1894" t="str">
            <v>VIA NAZIONALE 215 A</v>
          </cell>
          <cell r="F1894">
            <v>16039</v>
          </cell>
          <cell r="G1894" t="str">
            <v>SESTRI LEVANTE</v>
          </cell>
          <cell r="H1894" t="str">
            <v>GE</v>
          </cell>
          <cell r="I1894" t="str">
            <v>ITALIA</v>
          </cell>
          <cell r="J1894" t="str">
            <v>349-5435974</v>
          </cell>
        </row>
        <row r="1895">
          <cell r="B1895">
            <v>8484</v>
          </cell>
          <cell r="C1895" t="str">
            <v>ORTOLANDIA DI BAPARY DELOWER</v>
          </cell>
          <cell r="E1895" t="str">
            <v>VIA NAZIONALE, 215A</v>
          </cell>
          <cell r="F1895">
            <v>16039</v>
          </cell>
          <cell r="G1895" t="str">
            <v>SESTRI LEVANTE</v>
          </cell>
          <cell r="H1895" t="str">
            <v>GE</v>
          </cell>
          <cell r="I1895" t="str">
            <v>ITALIA</v>
          </cell>
          <cell r="J1895" t="str">
            <v>329-6003381</v>
          </cell>
        </row>
        <row r="1896">
          <cell r="B1896">
            <v>4179</v>
          </cell>
          <cell r="C1896" t="str">
            <v>OTTAVA NOTA S. R.L.</v>
          </cell>
          <cell r="D1896" t="str">
            <v>07372020961 07372020961</v>
          </cell>
          <cell r="E1896" t="str">
            <v>VIA TALIEDO, 4</v>
          </cell>
          <cell r="F1896">
            <v>20138</v>
          </cell>
          <cell r="G1896" t="str">
            <v>MILANO</v>
          </cell>
          <cell r="H1896" t="str">
            <v>MI</v>
          </cell>
          <cell r="I1896" t="str">
            <v>ITALIA</v>
          </cell>
          <cell r="J1896" t="str">
            <v>02-89658114</v>
          </cell>
        </row>
        <row r="1897">
          <cell r="B1897">
            <v>2033</v>
          </cell>
          <cell r="C1897" t="str">
            <v>OTTOLINA S.A.S.DI  OTTOLINA NICOLA &amp;  C.</v>
          </cell>
          <cell r="D1897" t="str">
            <v>04644740963 04644740963</v>
          </cell>
          <cell r="E1897" t="str">
            <v>VIA ADUA, 44</v>
          </cell>
          <cell r="F1897">
            <v>20822</v>
          </cell>
          <cell r="G1897" t="str">
            <v>MEDA</v>
          </cell>
          <cell r="H1897" t="str">
            <v>MB</v>
          </cell>
          <cell r="I1897" t="str">
            <v>ITALIA</v>
          </cell>
          <cell r="J1897" t="str">
            <v>339-8518171</v>
          </cell>
        </row>
        <row r="1898">
          <cell r="B1898">
            <v>3411</v>
          </cell>
          <cell r="C1898" t="str">
            <v>P.A.G. DI  TOMASONI A.  GIULIANO</v>
          </cell>
          <cell r="D1898" t="str">
            <v>02394230029 TMSNLG49S17H140 R</v>
          </cell>
          <cell r="E1898" t="str">
            <v>VIA PO, 5</v>
          </cell>
          <cell r="F1898">
            <v>13044</v>
          </cell>
          <cell r="G1898" t="str">
            <v>CRESCENTINO</v>
          </cell>
          <cell r="H1898" t="str">
            <v>VC</v>
          </cell>
          <cell r="I1898" t="str">
            <v>ITALIA</v>
          </cell>
          <cell r="J1898" t="str">
            <v>331-7506120</v>
          </cell>
        </row>
        <row r="1899">
          <cell r="B1899">
            <v>6910</v>
          </cell>
          <cell r="C1899" t="str">
            <v>P.C. S.A.S. DI  CALABRO ROBERTO  E C.</v>
          </cell>
          <cell r="D1899" t="str">
            <v>10956000961</v>
          </cell>
          <cell r="E1899" t="str">
            <v>VIA SALVATORE PIANELL,  32</v>
          </cell>
          <cell r="F1899">
            <v>20125</v>
          </cell>
          <cell r="G1899" t="str">
            <v>MILANO</v>
          </cell>
          <cell r="H1899" t="str">
            <v>MI</v>
          </cell>
          <cell r="I1899" t="str">
            <v>ITALIA</v>
          </cell>
          <cell r="J1899" t="str">
            <v>339-1376541</v>
          </cell>
        </row>
        <row r="1900">
          <cell r="B1900">
            <v>6481</v>
          </cell>
          <cell r="C1900" t="str">
            <v>P.H. KINGA  KINGA BACZEK</v>
          </cell>
          <cell r="D1900" t="str">
            <v>7581412557</v>
          </cell>
          <cell r="E1900" t="str">
            <v>UL. BOLESLAWA PRUSA, 7</v>
          </cell>
          <cell r="F1900">
            <v>7417</v>
          </cell>
          <cell r="G1900" t="str">
            <v>OSTROLEKA</v>
          </cell>
          <cell r="I1900" t="str">
            <v>POLONIA</v>
          </cell>
          <cell r="J1900" t="str">
            <v>0048509494707</v>
          </cell>
        </row>
        <row r="1901">
          <cell r="B1901">
            <v>6976</v>
          </cell>
          <cell r="C1901" t="str">
            <v>P.L. IMPIANTI DI  LIPARULO PIETRO</v>
          </cell>
          <cell r="D1901" t="str">
            <v>08129770015 LPRPTR62H04H834Y</v>
          </cell>
          <cell r="E1901" t="str">
            <v>VIA SAN GILLIO, 9</v>
          </cell>
          <cell r="F1901">
            <v>10149</v>
          </cell>
          <cell r="G1901" t="str">
            <v>TORINO</v>
          </cell>
          <cell r="H1901" t="str">
            <v>TO</v>
          </cell>
          <cell r="I1901" t="str">
            <v>ITALIA</v>
          </cell>
          <cell r="J1901" t="str">
            <v>338-5852475</v>
          </cell>
        </row>
        <row r="1902">
          <cell r="B1902">
            <v>2526</v>
          </cell>
          <cell r="C1902" t="str">
            <v>PABLO CAFFE' S.R.L.</v>
          </cell>
          <cell r="D1902" t="str">
            <v>11920430151 11920430151</v>
          </cell>
          <cell r="E1902" t="str">
            <v>VIA MONTELLO, 11</v>
          </cell>
          <cell r="F1902">
            <v>20021</v>
          </cell>
          <cell r="G1902" t="str">
            <v>BARANZATE</v>
          </cell>
          <cell r="H1902" t="str">
            <v>MI</v>
          </cell>
          <cell r="I1902" t="str">
            <v>ITALIA</v>
          </cell>
          <cell r="J1902" t="str">
            <v>02-3561181</v>
          </cell>
        </row>
        <row r="1903">
          <cell r="B1903">
            <v>7349</v>
          </cell>
          <cell r="C1903" t="str">
            <v>PACE CALOGERO</v>
          </cell>
          <cell r="D1903" t="str">
            <v>PCACGR62B03I644 W</v>
          </cell>
          <cell r="E1903" t="str">
            <v>VIA SOMALIA 84</v>
          </cell>
          <cell r="F1903">
            <v>13100</v>
          </cell>
          <cell r="G1903" t="str">
            <v>VERCELLI</v>
          </cell>
          <cell r="H1903" t="str">
            <v>VC</v>
          </cell>
          <cell r="I1903" t="str">
            <v>ITALIA</v>
          </cell>
          <cell r="J1903" t="str">
            <v>331-3640720</v>
          </cell>
        </row>
        <row r="1904">
          <cell r="B1904">
            <v>7355</v>
          </cell>
          <cell r="C1904" t="str">
            <v>PACIFICI TUCCI  FRANCESCA</v>
          </cell>
          <cell r="D1904" t="str">
            <v>PCFFNC83A67D810 L</v>
          </cell>
          <cell r="E1904" t="str">
            <v>VIALE NAPOLI 11</v>
          </cell>
          <cell r="F1904">
            <v>3100</v>
          </cell>
          <cell r="G1904" t="str">
            <v>FROSINONE</v>
          </cell>
          <cell r="H1904" t="str">
            <v>FR</v>
          </cell>
          <cell r="I1904" t="str">
            <v>ITALIA</v>
          </cell>
          <cell r="J1904" t="str">
            <v>320-4744902</v>
          </cell>
        </row>
        <row r="1905">
          <cell r="B1905">
            <v>7428</v>
          </cell>
          <cell r="C1905" t="str">
            <v>PADOVANI SIMONE</v>
          </cell>
          <cell r="D1905" t="str">
            <v>PDVSMN88B19C265 K</v>
          </cell>
          <cell r="E1905" t="str">
            <v>VIA 2 AGOSTO, 34</v>
          </cell>
          <cell r="F1905">
            <v>40021</v>
          </cell>
          <cell r="G1905" t="str">
            <v>BORGO  TOSSIGNANO</v>
          </cell>
          <cell r="H1905" t="str">
            <v>BO</v>
          </cell>
          <cell r="I1905" t="str">
            <v>ITALIA</v>
          </cell>
          <cell r="J1905" t="str">
            <v>338-8625063</v>
          </cell>
        </row>
        <row r="1906">
          <cell r="B1906">
            <v>7333</v>
          </cell>
          <cell r="C1906" t="str">
            <v>PAGLIAI ANTONELLA</v>
          </cell>
          <cell r="D1906" t="str">
            <v>PGLNNL62D60H570 M</v>
          </cell>
          <cell r="E1906" t="str">
            <v>VIA AMATORE SCIESA 2/A</v>
          </cell>
          <cell r="F1906">
            <v>57016</v>
          </cell>
          <cell r="G1906" t="str">
            <v>ROSIGNANO  MARITTIMO</v>
          </cell>
          <cell r="H1906" t="str">
            <v>LI</v>
          </cell>
          <cell r="I1906" t="str">
            <v>ITALIA</v>
          </cell>
          <cell r="J1906" t="str">
            <v>377-1543471</v>
          </cell>
        </row>
        <row r="1907">
          <cell r="B1907">
            <v>7099</v>
          </cell>
          <cell r="C1907" t="str">
            <v>PAGLIALUNGA  LUIGINO</v>
          </cell>
          <cell r="D1907" t="str">
            <v>PGLLGN73T05F051G</v>
          </cell>
          <cell r="E1907" t="str">
            <v>VIA VINCENZO BOLDRINI, 102</v>
          </cell>
          <cell r="F1907">
            <v>62024</v>
          </cell>
          <cell r="G1907" t="str">
            <v>MATELICA</v>
          </cell>
          <cell r="H1907" t="str">
            <v>MC</v>
          </cell>
          <cell r="I1907" t="str">
            <v>ITALIA</v>
          </cell>
          <cell r="J1907" t="str">
            <v>328-8184606</v>
          </cell>
        </row>
        <row r="1908">
          <cell r="B1908">
            <v>7398</v>
          </cell>
          <cell r="C1908" t="str">
            <v>PAGLIANO PATRIZIA</v>
          </cell>
          <cell r="D1908" t="str">
            <v>PGLPRZ75H49A859 O</v>
          </cell>
          <cell r="E1908" t="str">
            <v>VIA WALTER FILLAK 8 -  FRAZ. LACE</v>
          </cell>
          <cell r="F1908">
            <v>13893</v>
          </cell>
          <cell r="G1908" t="str">
            <v>DONATO</v>
          </cell>
          <cell r="H1908" t="str">
            <v>BI</v>
          </cell>
          <cell r="I1908" t="str">
            <v>ITALIA</v>
          </cell>
          <cell r="J1908" t="str">
            <v>377-9113981</v>
          </cell>
        </row>
        <row r="1909">
          <cell r="B1909">
            <v>4773</v>
          </cell>
          <cell r="C1909" t="str">
            <v>PAGLIERO &amp;  CALVETTI S.r.l.</v>
          </cell>
          <cell r="D1909" t="str">
            <v>11177510010 11177510010</v>
          </cell>
          <cell r="E1909" t="str">
            <v>VIA DELLA REPUBBLICA, 9</v>
          </cell>
          <cell r="F1909">
            <v>10036</v>
          </cell>
          <cell r="G1909" t="str">
            <v>SETTIMO  TORINESE</v>
          </cell>
          <cell r="H1909" t="str">
            <v>TO</v>
          </cell>
          <cell r="I1909" t="str">
            <v>ITALIA</v>
          </cell>
        </row>
        <row r="1910">
          <cell r="B1910">
            <v>6111</v>
          </cell>
          <cell r="C1910" t="str">
            <v>PAGLIERO MAURO</v>
          </cell>
          <cell r="D1910" t="str">
            <v>08940760013 PGLMRA56R10L219 W</v>
          </cell>
          <cell r="E1910" t="str">
            <v>VIA DE AMICIS,17</v>
          </cell>
          <cell r="F1910">
            <v>10036</v>
          </cell>
          <cell r="G1910" t="str">
            <v>SETTIMO  TORINESE</v>
          </cell>
          <cell r="H1910" t="str">
            <v>TO</v>
          </cell>
          <cell r="I1910" t="str">
            <v>ITALIA</v>
          </cell>
          <cell r="J1910" t="str">
            <v>011-8970503</v>
          </cell>
        </row>
        <row r="1911">
          <cell r="B1911">
            <v>7109</v>
          </cell>
          <cell r="C1911" t="str">
            <v>PAGLINO SARA</v>
          </cell>
          <cell r="D1911" t="str">
            <v>PGLSRA87C56F205J</v>
          </cell>
          <cell r="E1911" t="str">
            <v>VIALE DANTE ALIGHIERI,  2D</v>
          </cell>
          <cell r="F1911">
            <v>28100</v>
          </cell>
          <cell r="G1911" t="str">
            <v>NOVARA</v>
          </cell>
          <cell r="H1911" t="str">
            <v>NO</v>
          </cell>
          <cell r="I1911" t="str">
            <v>ITALIA</v>
          </cell>
          <cell r="J1911" t="str">
            <v>347-7664742</v>
          </cell>
        </row>
        <row r="1912">
          <cell r="B1912">
            <v>4388</v>
          </cell>
          <cell r="C1912" t="str">
            <v>PALLADINOSOLUTIO N DI GIUSEPPE  PALLADINO</v>
          </cell>
          <cell r="D1912" t="str">
            <v>10400710017 PLLGPP64B21F220Y</v>
          </cell>
          <cell r="E1912" t="str">
            <v>VIA TRUCCO DI BRIONE,  11</v>
          </cell>
          <cell r="F1912">
            <v>10040</v>
          </cell>
          <cell r="G1912" t="str">
            <v>VALDELLATORRE</v>
          </cell>
          <cell r="H1912" t="str">
            <v>TO</v>
          </cell>
          <cell r="I1912" t="str">
            <v>ITALIA</v>
          </cell>
          <cell r="J1912" t="str">
            <v>339-4871109</v>
          </cell>
        </row>
        <row r="1913">
          <cell r="B1913">
            <v>5247</v>
          </cell>
          <cell r="C1913" t="str">
            <v>PALMA DISTRIB. AUTOMAT. S.A.S.</v>
          </cell>
          <cell r="D1913" t="str">
            <v>00742800014 00742800014</v>
          </cell>
          <cell r="E1913" t="str">
            <v>VIA CONI ZUGNA, 17/A</v>
          </cell>
          <cell r="F1913">
            <v>10135</v>
          </cell>
          <cell r="G1913" t="str">
            <v>TORINO</v>
          </cell>
          <cell r="H1913" t="str">
            <v>TO</v>
          </cell>
          <cell r="I1913" t="str">
            <v>ITALIA</v>
          </cell>
          <cell r="J1913" t="str">
            <v>349-2652619</v>
          </cell>
        </row>
        <row r="1914">
          <cell r="B1914">
            <v>7530</v>
          </cell>
          <cell r="C1914" t="str">
            <v>PALMIERI  SERRAMENTI SRLS</v>
          </cell>
          <cell r="D1914" t="str">
            <v>14642581004</v>
          </cell>
          <cell r="E1914" t="str">
            <v>VIA DELLE IDROVORE  DELLA MAGLIANA, 149</v>
          </cell>
          <cell r="F1914">
            <v>148</v>
          </cell>
          <cell r="G1914" t="str">
            <v>ROMA</v>
          </cell>
          <cell r="H1914" t="str">
            <v>RM</v>
          </cell>
          <cell r="I1914" t="str">
            <v>ITALIA</v>
          </cell>
          <cell r="J1914"/>
        </row>
        <row r="1915">
          <cell r="B1915">
            <v>1980</v>
          </cell>
          <cell r="C1915" t="str">
            <v>PALMIGIANO  MASSIMILIANO</v>
          </cell>
          <cell r="D1915" t="str">
            <v>01894320033 PLMMSM74E23G062 V</v>
          </cell>
          <cell r="E1915" t="str">
            <v>VIA AMENDOLA, 8</v>
          </cell>
          <cell r="F1915">
            <v>28891</v>
          </cell>
          <cell r="G1915" t="str">
            <v>NONIO</v>
          </cell>
          <cell r="H1915" t="str">
            <v>VB</v>
          </cell>
          <cell r="I1915" t="str">
            <v>ITALIA</v>
          </cell>
          <cell r="J1915" t="str">
            <v>0323-889251</v>
          </cell>
        </row>
        <row r="1916">
          <cell r="B1916">
            <v>7152</v>
          </cell>
          <cell r="C1916" t="str">
            <v>PALMUCCI CARMINE</v>
          </cell>
          <cell r="D1916" t="str">
            <v>PLMCMN48P19I520 B</v>
          </cell>
          <cell r="E1916" t="str">
            <v>VIA EMILIA LEVANTE,  2273/A</v>
          </cell>
          <cell r="F1916">
            <v>40024</v>
          </cell>
          <cell r="G1916" t="str">
            <v>CASTEL SAN  PIETRO TERME</v>
          </cell>
          <cell r="H1916" t="str">
            <v>BO</v>
          </cell>
          <cell r="I1916" t="str">
            <v>ITALIA</v>
          </cell>
          <cell r="J1916" t="str">
            <v>335-5922280</v>
          </cell>
        </row>
        <row r="1917">
          <cell r="B1917">
            <v>3977</v>
          </cell>
          <cell r="C1917" t="str">
            <v>PALUS  DISTRIBUZIONE S.R. L.</v>
          </cell>
          <cell r="D1917" t="str">
            <v>01534050081 01534050081</v>
          </cell>
          <cell r="E1917" t="str">
            <v>VIA PADRE SEMERIA, 194</v>
          </cell>
          <cell r="F1917">
            <v>18038</v>
          </cell>
          <cell r="G1917" t="str">
            <v>SANREMO</v>
          </cell>
          <cell r="H1917" t="str">
            <v>IM</v>
          </cell>
          <cell r="I1917" t="str">
            <v>ITALIA</v>
          </cell>
          <cell r="J1917" t="str">
            <v>0184-695155</v>
          </cell>
        </row>
        <row r="1918">
          <cell r="B1918">
            <v>6581</v>
          </cell>
          <cell r="C1918" t="str">
            <v>PANDA LAVAGGI S. R.L.</v>
          </cell>
          <cell r="D1918" t="str">
            <v>01575430093 01575430093</v>
          </cell>
          <cell r="E1918" t="str">
            <v>CORSO MARCONI, 174</v>
          </cell>
          <cell r="F1918">
            <v>17014</v>
          </cell>
          <cell r="G1918" t="str">
            <v>CAIRO  MONTENOTTE</v>
          </cell>
          <cell r="H1918" t="str">
            <v>SV</v>
          </cell>
          <cell r="I1918" t="str">
            <v>ITALIA</v>
          </cell>
          <cell r="J1918" t="str">
            <v xml:space="preserve">019-503012 </v>
          </cell>
        </row>
        <row r="1919">
          <cell r="B1919">
            <v>7244</v>
          </cell>
          <cell r="C1919" t="str">
            <v>PANETTA FEDERICO</v>
          </cell>
          <cell r="D1919" t="str">
            <v>PNTFRC83L17L219X</v>
          </cell>
          <cell r="E1919" t="str">
            <v>VIA MONTELLO 15</v>
          </cell>
          <cell r="F1919">
            <v>10092</v>
          </cell>
          <cell r="G1919" t="str">
            <v>BEINASCO</v>
          </cell>
          <cell r="H1919" t="str">
            <v>TO</v>
          </cell>
          <cell r="I1919" t="str">
            <v>ITALIA</v>
          </cell>
          <cell r="J1919" t="str">
            <v>349-5640795</v>
          </cell>
        </row>
        <row r="1920">
          <cell r="B1920">
            <v>6437</v>
          </cell>
          <cell r="C1920" t="str">
            <v>PANETTERIA  CATERINA DI  CATERINA  ANNALORO</v>
          </cell>
          <cell r="D1920" t="str">
            <v>11487640010 11487640010</v>
          </cell>
          <cell r="E1920" t="str">
            <v>VIE DELLE VERBENE, 11</v>
          </cell>
          <cell r="F1920">
            <v>10100</v>
          </cell>
          <cell r="G1920" t="str">
            <v>TORINO</v>
          </cell>
          <cell r="H1920" t="str">
            <v>TO</v>
          </cell>
          <cell r="I1920" t="str">
            <v>ITALIA</v>
          </cell>
          <cell r="J1920" t="str">
            <v>345-9360382</v>
          </cell>
        </row>
        <row r="1921">
          <cell r="B1921">
            <v>7186</v>
          </cell>
          <cell r="C1921" t="str">
            <v>PANETTI MARIA  CHIARA</v>
          </cell>
          <cell r="D1921" t="str">
            <v>PNTMCH94P48E783 L</v>
          </cell>
          <cell r="E1921" t="str">
            <v>CONTRADA SAN NICOLO'  6/F</v>
          </cell>
          <cell r="F1921">
            <v>62010</v>
          </cell>
          <cell r="G1921" t="str">
            <v>MONTELUPONE</v>
          </cell>
          <cell r="H1921" t="str">
            <v>MC</v>
          </cell>
          <cell r="I1921" t="str">
            <v>ITALIA</v>
          </cell>
          <cell r="J1921" t="str">
            <v>346-6245782</v>
          </cell>
        </row>
        <row r="1922">
          <cell r="B1922">
            <v>4401</v>
          </cell>
          <cell r="C1922" t="str">
            <v>PANIFICIO  TARALLIFICIO  PUGLIESE DA  NONNA MARIA</v>
          </cell>
          <cell r="D1922" t="str">
            <v>08324750960 DMLLRD90H25E716 F</v>
          </cell>
          <cell r="E1922" t="str">
            <v>VIA MARONCELLI 9</v>
          </cell>
          <cell r="F1922">
            <v>20834</v>
          </cell>
          <cell r="G1922" t="str">
            <v>NOVA MILANESE</v>
          </cell>
          <cell r="H1922" t="str">
            <v>MB</v>
          </cell>
          <cell r="I1922" t="str">
            <v>ITALIA</v>
          </cell>
          <cell r="J1922" t="str">
            <v>333-4203132</v>
          </cell>
        </row>
        <row r="1923">
          <cell r="B1923">
            <v>4987</v>
          </cell>
          <cell r="C1923" t="str">
            <v>PANIFICIO BILONI  FABIO</v>
          </cell>
          <cell r="D1923" t="str">
            <v>02441550023</v>
          </cell>
          <cell r="E1923" t="str">
            <v>VIA MARCONI, 6</v>
          </cell>
          <cell r="F1923">
            <v>13898</v>
          </cell>
          <cell r="G1923" t="str">
            <v>OCCHIEPPO  SUPERIORE</v>
          </cell>
          <cell r="H1923" t="str">
            <v>BI</v>
          </cell>
          <cell r="I1923" t="str">
            <v>ITALIA</v>
          </cell>
          <cell r="J1923" t="str">
            <v>347-8242078</v>
          </cell>
        </row>
        <row r="1924">
          <cell r="B1924">
            <v>6892</v>
          </cell>
          <cell r="C1924" t="str">
            <v>PANIZZOLO SIMONE</v>
          </cell>
          <cell r="D1924" t="str">
            <v>10237960967 PNZSMN74L16A940 Z</v>
          </cell>
          <cell r="E1924" t="str">
            <v>PIAZZA 5 GIORNATE</v>
          </cell>
          <cell r="F1924">
            <v>20129</v>
          </cell>
          <cell r="G1924" t="str">
            <v>MILANO</v>
          </cell>
          <cell r="H1924" t="str">
            <v>MI</v>
          </cell>
          <cell r="I1924" t="str">
            <v>ITALIA</v>
          </cell>
          <cell r="J1924" t="str">
            <v xml:space="preserve">02-49702544 </v>
          </cell>
        </row>
        <row r="1925">
          <cell r="B1925">
            <v>2177</v>
          </cell>
          <cell r="C1925" t="str">
            <v>PANZERI ERNESTO</v>
          </cell>
          <cell r="D1925" t="str">
            <v>02676430131 PNZRST62P12G009 L</v>
          </cell>
          <cell r="E1925" t="str">
            <v>VIALE ACHILLE GRANDI,  40</v>
          </cell>
          <cell r="F1925">
            <v>23847</v>
          </cell>
          <cell r="G1925" t="str">
            <v>MOLTENO</v>
          </cell>
          <cell r="H1925" t="str">
            <v>LC</v>
          </cell>
          <cell r="I1925" t="str">
            <v>ITALIA</v>
          </cell>
          <cell r="J1925" t="str">
            <v>335-6206484</v>
          </cell>
        </row>
        <row r="1926">
          <cell r="B1926">
            <v>6972</v>
          </cell>
          <cell r="C1926" t="str">
            <v>PAOLA PECORA</v>
          </cell>
          <cell r="D1926" t="str">
            <v>PCRPLA69T42H509 Q</v>
          </cell>
          <cell r="E1926" t="str">
            <v>VIA F.LLI KENNEDY, 5</v>
          </cell>
          <cell r="F1926">
            <v>24060</v>
          </cell>
          <cell r="G1926" t="str">
            <v>CAROBBIO  DEGLI ANGELI</v>
          </cell>
          <cell r="H1926" t="str">
            <v>BG</v>
          </cell>
          <cell r="I1926" t="str">
            <v>ITALIA</v>
          </cell>
          <cell r="J1926" t="str">
            <v>334-6105940</v>
          </cell>
        </row>
        <row r="1927">
          <cell r="B1927">
            <v>7268</v>
          </cell>
          <cell r="C1927" t="str">
            <v>PAOLES ANDREA</v>
          </cell>
          <cell r="D1927" t="str">
            <v>PLSNDR62S13H501 Q</v>
          </cell>
          <cell r="E1927" t="str">
            <v>VIA CLAUDIA 96</v>
          </cell>
          <cell r="F1927">
            <v>62</v>
          </cell>
          <cell r="G1927" t="str">
            <v>BRACCIANO</v>
          </cell>
          <cell r="H1927" t="str">
            <v>RM</v>
          </cell>
          <cell r="I1927" t="str">
            <v>ITALIA</v>
          </cell>
          <cell r="J1927" t="str">
            <v>348-5305163</v>
          </cell>
        </row>
        <row r="1928">
          <cell r="B1928">
            <v>7100</v>
          </cell>
          <cell r="C1928" t="str">
            <v>PARADAL JOEL</v>
          </cell>
          <cell r="D1928" t="str">
            <v>PRDJLO81A22Z216Y</v>
          </cell>
          <cell r="E1928" t="str">
            <v>VIA MADONNA DEI  BOSCHI, 12</v>
          </cell>
          <cell r="F1928">
            <v>40063</v>
          </cell>
          <cell r="G1928" t="str">
            <v>MONGHIDORO</v>
          </cell>
          <cell r="H1928" t="str">
            <v>BO</v>
          </cell>
          <cell r="I1928" t="str">
            <v>ITALIA</v>
          </cell>
          <cell r="J1928" t="str">
            <v>334-7573163</v>
          </cell>
        </row>
        <row r="1929">
          <cell r="B1929">
            <v>7432</v>
          </cell>
          <cell r="C1929" t="str">
            <v>PARADISE CAFE' DI  ANGELI SIMONE</v>
          </cell>
          <cell r="D1929" t="str">
            <v>11428980962 NGLSMN76B26I625 B</v>
          </cell>
          <cell r="E1929" t="str">
            <v>VIA F. PARRI, 59</v>
          </cell>
          <cell r="F1929">
            <v>20033</v>
          </cell>
          <cell r="G1929" t="str">
            <v>SOLARO</v>
          </cell>
          <cell r="H1929" t="str">
            <v>MI</v>
          </cell>
          <cell r="I1929" t="str">
            <v>ITALIA</v>
          </cell>
          <cell r="J1929" t="str">
            <v>346-0906249</v>
          </cell>
        </row>
        <row r="1930">
          <cell r="B1930">
            <v>2688</v>
          </cell>
          <cell r="C1930" t="str">
            <v>PARADISE COFFEE S. R.L.</v>
          </cell>
          <cell r="D1930" t="str">
            <v>04522530965 04522530965</v>
          </cell>
          <cell r="E1930" t="str">
            <v>VIA IL CARAVAGGIO,  28/30</v>
          </cell>
          <cell r="F1930">
            <v>20060</v>
          </cell>
          <cell r="G1930" t="str">
            <v>TRECELLA  POZZUOLO  MARTESANA</v>
          </cell>
          <cell r="H1930" t="str">
            <v>MI</v>
          </cell>
          <cell r="I1930" t="str">
            <v>ITALIA</v>
          </cell>
          <cell r="J1930" t="str">
            <v xml:space="preserve">02-95732948 </v>
          </cell>
        </row>
        <row r="1931">
          <cell r="B1931">
            <v>6759</v>
          </cell>
          <cell r="C1931" t="str">
            <v>PARADISE DI  BONINO CARLO</v>
          </cell>
          <cell r="D1931" t="str">
            <v>11201460018 BNNCRL61E04L219 W</v>
          </cell>
          <cell r="E1931" t="str">
            <v>VIA ENRICO GIACHINO,  52/C</v>
          </cell>
          <cell r="F1931">
            <v>10100</v>
          </cell>
          <cell r="G1931" t="str">
            <v>TORINO</v>
          </cell>
          <cell r="H1931" t="str">
            <v>TO</v>
          </cell>
          <cell r="I1931" t="str">
            <v>ITALIA</v>
          </cell>
          <cell r="J1931" t="str">
            <v>338-4304876</v>
          </cell>
        </row>
        <row r="1932">
          <cell r="B1932">
            <v>6376</v>
          </cell>
          <cell r="C1932" t="str">
            <v>PARADISO DEL  SOLE S.N.C. DI  RENZONE NICOLA &amp;  C.</v>
          </cell>
          <cell r="D1932" t="str">
            <v>08391940015</v>
          </cell>
          <cell r="E1932" t="str">
            <v>CORSO FRANCIA, 211/A</v>
          </cell>
          <cell r="F1932">
            <v>10100</v>
          </cell>
          <cell r="G1932" t="str">
            <v>TORINO</v>
          </cell>
          <cell r="H1932" t="str">
            <v>TO</v>
          </cell>
          <cell r="I1932" t="str">
            <v>ITALIA</v>
          </cell>
          <cell r="J1932" t="str">
            <v>338-4413352</v>
          </cell>
        </row>
        <row r="1933">
          <cell r="B1933">
            <v>6682</v>
          </cell>
          <cell r="C1933" t="str">
            <v>PARLAPA' CAFE' DI  CARRERA SABRINA</v>
          </cell>
          <cell r="D1933" t="str">
            <v>11918590016 CRRSRN72P63F335 C</v>
          </cell>
          <cell r="E1933" t="str">
            <v>VIA LANCIA, 138/12</v>
          </cell>
          <cell r="F1933">
            <v>10141</v>
          </cell>
          <cell r="G1933" t="str">
            <v>TORINO</v>
          </cell>
          <cell r="H1933" t="str">
            <v>TO</v>
          </cell>
          <cell r="I1933" t="str">
            <v>ITALIA</v>
          </cell>
          <cell r="J1933" t="str">
            <v>339-8830800</v>
          </cell>
        </row>
        <row r="1934">
          <cell r="B1934">
            <v>6949</v>
          </cell>
          <cell r="C1934" t="str">
            <v>PARROCCHIA  SACRO CUORE  GESU'</v>
          </cell>
          <cell r="D1934" t="str">
            <v>95520410010</v>
          </cell>
          <cell r="E1934" t="str">
            <v>ST. TORINO DRUENTO, 31</v>
          </cell>
          <cell r="F1934">
            <v>10093</v>
          </cell>
          <cell r="G1934" t="str">
            <v>SAVONERA</v>
          </cell>
          <cell r="H1934" t="str">
            <v>TO</v>
          </cell>
          <cell r="I1934" t="str">
            <v>ITALIA</v>
          </cell>
          <cell r="J1934" t="str">
            <v xml:space="preserve">336-74795643 </v>
          </cell>
        </row>
        <row r="1935">
          <cell r="B1935">
            <v>4146</v>
          </cell>
          <cell r="C1935" t="str">
            <v>PARROCCHIA B.V.  DI FATIMA E S.RITA</v>
          </cell>
          <cell r="D1935" t="str">
            <v>08019650152 80109770158</v>
          </cell>
          <cell r="E1935" t="str">
            <v>VIA VOLTA, 224</v>
          </cell>
          <cell r="F1935">
            <v>20030</v>
          </cell>
          <cell r="G1935" t="str">
            <v>SENAGO</v>
          </cell>
          <cell r="H1935" t="str">
            <v>MI</v>
          </cell>
          <cell r="I1935" t="str">
            <v>ITALIA</v>
          </cell>
          <cell r="J1935" t="str">
            <v>335-5650883</v>
          </cell>
        </row>
        <row r="1936">
          <cell r="B1936">
            <v>5968</v>
          </cell>
          <cell r="C1936" t="str">
            <v>PASQUA RENZO</v>
          </cell>
          <cell r="D1936" t="str">
            <v>PSQRNZ47S20B928 H</v>
          </cell>
          <cell r="E1936" t="str">
            <v>VICOLO BIANCHETTI, 9</v>
          </cell>
          <cell r="F1936">
            <v>10090</v>
          </cell>
          <cell r="G1936" t="str">
            <v>SAN GIORGIO  CANAVESE</v>
          </cell>
          <cell r="H1936" t="str">
            <v>TO</v>
          </cell>
          <cell r="I1936" t="str">
            <v>ITALIA</v>
          </cell>
        </row>
        <row r="1937">
          <cell r="B1937">
            <v>7142</v>
          </cell>
          <cell r="C1937" t="str">
            <v>PASQUALETTI  GIANLUCA</v>
          </cell>
          <cell r="D1937" t="str">
            <v>PSQGLC70B14M082 O</v>
          </cell>
          <cell r="E1937" t="str">
            <v>VIA DEI TARQUINI, 13</v>
          </cell>
          <cell r="F1937">
            <v>1100</v>
          </cell>
          <cell r="G1937" t="str">
            <v>VITERBO</v>
          </cell>
          <cell r="H1937" t="str">
            <v>VT</v>
          </cell>
          <cell r="I1937" t="str">
            <v>ITALIA</v>
          </cell>
          <cell r="J1937" t="str">
            <v>333-4418997</v>
          </cell>
        </row>
        <row r="1938">
          <cell r="B1938">
            <v>4942</v>
          </cell>
          <cell r="C1938" t="str">
            <v>PASTORELLI  EMANUELE</v>
          </cell>
          <cell r="D1938" t="str">
            <v>PSTMNL66T26D869 X</v>
          </cell>
          <cell r="E1938" t="str">
            <v>VIA PIETRO DA  GALLARATE</v>
          </cell>
          <cell r="F1938">
            <v>21013</v>
          </cell>
          <cell r="G1938" t="str">
            <v>GALLARATE</v>
          </cell>
          <cell r="H1938" t="str">
            <v>VA</v>
          </cell>
          <cell r="I1938" t="str">
            <v>ITALIA</v>
          </cell>
          <cell r="J1938" t="str">
            <v>340-5610175</v>
          </cell>
        </row>
        <row r="1939">
          <cell r="B1939">
            <v>7258</v>
          </cell>
          <cell r="C1939" t="str">
            <v>PASTORELLO ELIA</v>
          </cell>
          <cell r="D1939" t="str">
            <v>PSTLEI69T70D869C</v>
          </cell>
          <cell r="E1939" t="str">
            <v>VIA STRAGLIATI 6</v>
          </cell>
          <cell r="F1939">
            <v>21013</v>
          </cell>
          <cell r="G1939" t="str">
            <v>GALLARATE</v>
          </cell>
          <cell r="H1939" t="str">
            <v>VA</v>
          </cell>
          <cell r="I1939" t="str">
            <v>ITALIA</v>
          </cell>
          <cell r="J1939" t="str">
            <v>347-2619048</v>
          </cell>
        </row>
        <row r="1940">
          <cell r="B1940">
            <v>7482</v>
          </cell>
          <cell r="C1940" t="str">
            <v>PASTUCCI MARIA  TERESA</v>
          </cell>
          <cell r="D1940" t="str">
            <v>PSTMTR84E68H926 Y</v>
          </cell>
          <cell r="E1940" t="str">
            <v>VIA ENRICO TOTI 50</v>
          </cell>
          <cell r="F1940">
            <v>71011</v>
          </cell>
          <cell r="G1940" t="str">
            <v>APRICENA</v>
          </cell>
          <cell r="H1940" t="str">
            <v>FG</v>
          </cell>
          <cell r="I1940" t="str">
            <v>ITALIA</v>
          </cell>
          <cell r="J1940" t="str">
            <v>389-9814311</v>
          </cell>
        </row>
        <row r="1941">
          <cell r="B1941">
            <v>7352</v>
          </cell>
          <cell r="C1941" t="str">
            <v>PATATA 24 IMPERIA  DI MONTANA  FRANCO</v>
          </cell>
          <cell r="D1941" t="str">
            <v>01718120080 MNTFNC79A27E290 H</v>
          </cell>
          <cell r="E1941" t="str">
            <v>VIA BORGATA ASCHERI, 13</v>
          </cell>
          <cell r="F1941">
            <v>18013</v>
          </cell>
          <cell r="G1941" t="str">
            <v>DIANO  ARENTINO</v>
          </cell>
          <cell r="H1941" t="str">
            <v>IM</v>
          </cell>
          <cell r="I1941" t="str">
            <v>ITALIA</v>
          </cell>
          <cell r="J1941" t="str">
            <v>380-4377563</v>
          </cell>
        </row>
        <row r="1942">
          <cell r="B1942">
            <v>4575</v>
          </cell>
          <cell r="C1942" t="str">
            <v>PATUELLI PASCAL  CINE FILMS</v>
          </cell>
          <cell r="D1942" t="str">
            <v>15321339467</v>
          </cell>
          <cell r="E1942" t="str">
            <v>QUAI BONAPARTE, 43</v>
          </cell>
          <cell r="F1942">
            <v>6500</v>
          </cell>
          <cell r="G1942" t="str">
            <v>MENTON ( FRANCIA)</v>
          </cell>
          <cell r="I1942" t="str">
            <v>FRANCIA</v>
          </cell>
          <cell r="J1942" t="str">
            <v>336-11815935</v>
          </cell>
        </row>
        <row r="1943">
          <cell r="B1943">
            <v>6966</v>
          </cell>
          <cell r="C1943" t="str">
            <v>PAU FEDERICA</v>
          </cell>
          <cell r="D1943" t="str">
            <v>PAUFRC85D65B354 C</v>
          </cell>
          <cell r="E1943" t="str">
            <v>VIA FERROVIA, 26</v>
          </cell>
          <cell r="F1943">
            <v>9067</v>
          </cell>
          <cell r="G1943" t="str">
            <v>ELMAS</v>
          </cell>
          <cell r="H1943" t="str">
            <v>CA</v>
          </cell>
          <cell r="I1943" t="str">
            <v>ITALIA</v>
          </cell>
          <cell r="J1943" t="str">
            <v>345-4191190</v>
          </cell>
        </row>
        <row r="1944">
          <cell r="B1944">
            <v>4417</v>
          </cell>
          <cell r="C1944" t="str">
            <v>PAUSA CAFFE' DI  JUDITE DA SILVA  ELIUDE</v>
          </cell>
          <cell r="D1944" t="str">
            <v>11000800018 JDTLDE79M61Z602 Z</v>
          </cell>
          <cell r="E1944" t="str">
            <v>CORSO MASSIMO D' AZEGLIO, 60</v>
          </cell>
          <cell r="F1944">
            <v>10126</v>
          </cell>
          <cell r="G1944" t="str">
            <v>TORINO</v>
          </cell>
          <cell r="H1944" t="str">
            <v>TO</v>
          </cell>
          <cell r="I1944" t="str">
            <v>ITALIA</v>
          </cell>
          <cell r="J1944" t="str">
            <v>393-9163917</v>
          </cell>
        </row>
        <row r="1945">
          <cell r="B1945">
            <v>6855</v>
          </cell>
          <cell r="C1945" t="str">
            <v>PAUSA CAFFE' DI  VIOLA  AMITA</v>
          </cell>
          <cell r="D1945" t="str">
            <v>01784770099 VLIMTA91H68D600T</v>
          </cell>
          <cell r="E1945" t="str">
            <v>VIA  BRUNENGHI, 185</v>
          </cell>
          <cell r="F1945">
            <v>17024</v>
          </cell>
          <cell r="G1945" t="str">
            <v>FINALE LIGURE</v>
          </cell>
          <cell r="H1945" t="str">
            <v>SV</v>
          </cell>
          <cell r="I1945" t="str">
            <v>ITALIA</v>
          </cell>
          <cell r="J1945" t="str">
            <v>339-3743387</v>
          </cell>
        </row>
        <row r="1946">
          <cell r="B1946">
            <v>7596</v>
          </cell>
          <cell r="C1946" t="str">
            <v>PAUSA CAFFE' DI GRECO SALVATORE</v>
          </cell>
          <cell r="E1946" t="str">
            <v>VIA PICCINELLI,36</v>
          </cell>
          <cell r="F1946">
            <v>22076</v>
          </cell>
          <cell r="G1946" t="str">
            <v>MOZZATE</v>
          </cell>
          <cell r="H1946" t="str">
            <v>CO</v>
          </cell>
          <cell r="I1946" t="str">
            <v>ITALIA</v>
          </cell>
        </row>
        <row r="1947">
          <cell r="B1947">
            <v>2747</v>
          </cell>
          <cell r="C1947" t="str">
            <v>PAUSA CAFFE' S.R.L.</v>
          </cell>
          <cell r="D1947" t="str">
            <v>05526310965 05526310965</v>
          </cell>
          <cell r="E1947" t="str">
            <v>VIA BRUGHETTI, 4H</v>
          </cell>
          <cell r="F1947">
            <v>20832</v>
          </cell>
          <cell r="G1947" t="str">
            <v>BOVISIO MASCIAGO</v>
          </cell>
          <cell r="H1947" t="str">
            <v>MB</v>
          </cell>
          <cell r="I1947" t="str">
            <v>ITALIA</v>
          </cell>
          <cell r="J1947" t="str">
            <v xml:space="preserve">0362-628671 </v>
          </cell>
        </row>
        <row r="1948">
          <cell r="B1948">
            <v>6999</v>
          </cell>
          <cell r="C1948" t="str">
            <v>PAVIA PASQUA  LIDIA</v>
          </cell>
          <cell r="D1948" t="str">
            <v>PVAPQL69S68F061A</v>
          </cell>
          <cell r="E1948" t="str">
            <v>PIAZZA ADELIO COLITTO,  6</v>
          </cell>
          <cell r="F1948">
            <v>47032</v>
          </cell>
          <cell r="G1948" t="str">
            <v>BERTINORO</v>
          </cell>
          <cell r="H1948" t="str">
            <v>FC</v>
          </cell>
          <cell r="I1948" t="str">
            <v>ITALIA</v>
          </cell>
          <cell r="J1948" t="str">
            <v>349-7822928</v>
          </cell>
        </row>
        <row r="1949">
          <cell r="B1949">
            <v>3699</v>
          </cell>
          <cell r="C1949" t="str">
            <v>PELLEGRINI S.P.A.</v>
          </cell>
          <cell r="D1949" t="str">
            <v>05066690156 05066690156</v>
          </cell>
          <cell r="E1949" t="str">
            <v>VIA LORENTEGGIO, 255</v>
          </cell>
          <cell r="F1949">
            <v>20142</v>
          </cell>
          <cell r="G1949" t="str">
            <v>MILANO</v>
          </cell>
          <cell r="H1949" t="str">
            <v>MI</v>
          </cell>
          <cell r="I1949" t="str">
            <v>ITALIA</v>
          </cell>
          <cell r="J1949" t="str">
            <v>02-89130</v>
          </cell>
        </row>
        <row r="1950">
          <cell r="B1950">
            <v>7158</v>
          </cell>
          <cell r="C1950" t="str">
            <v>PELLEGRINO GRAZIA</v>
          </cell>
          <cell r="D1950" t="str">
            <v>PLLGRZ83H63G309 N</v>
          </cell>
          <cell r="E1950" t="str">
            <v>VIA APPIA LATO NAPOLI</v>
          </cell>
          <cell r="F1950">
            <v>4023</v>
          </cell>
          <cell r="G1950" t="str">
            <v>FORMIA</v>
          </cell>
          <cell r="H1950" t="str">
            <v>LT</v>
          </cell>
          <cell r="I1950" t="str">
            <v>ITALIA</v>
          </cell>
          <cell r="J1950" t="str">
            <v>331-7405576</v>
          </cell>
        </row>
        <row r="1951">
          <cell r="B1951">
            <v>7435</v>
          </cell>
          <cell r="C1951" t="str">
            <v>PELLINO LUIGI</v>
          </cell>
          <cell r="D1951" t="str">
            <v>PLLLGU89D08D912 S</v>
          </cell>
          <cell r="E1951" t="str">
            <v>VIA ISONZO, 17</v>
          </cell>
          <cell r="F1951">
            <v>20021</v>
          </cell>
          <cell r="G1951" t="str">
            <v>BOLLATE</v>
          </cell>
          <cell r="H1951" t="str">
            <v>MI</v>
          </cell>
          <cell r="I1951" t="str">
            <v>ITALIA</v>
          </cell>
          <cell r="J1951" t="str">
            <v>329-1771643</v>
          </cell>
        </row>
        <row r="1952">
          <cell r="B1952">
            <v>7375</v>
          </cell>
          <cell r="C1952" t="str">
            <v>PELOSO ADOLFO</v>
          </cell>
          <cell r="D1952" t="str">
            <v>PLSDLF49A08E358H</v>
          </cell>
          <cell r="E1952" t="str">
            <v>VIA LAMPERTICO 14</v>
          </cell>
          <cell r="F1952">
            <v>36040</v>
          </cell>
          <cell r="G1952" t="str">
            <v>GRUMOLO DELLE  ABBADESSE</v>
          </cell>
          <cell r="H1952" t="str">
            <v>VI</v>
          </cell>
          <cell r="I1952" t="str">
            <v>ITALIA</v>
          </cell>
          <cell r="J1952" t="str">
            <v>338-3684800</v>
          </cell>
        </row>
        <row r="1953">
          <cell r="B1953">
            <v>7145</v>
          </cell>
          <cell r="C1953" t="str">
            <v>PENZO LAURA</v>
          </cell>
          <cell r="D1953" t="str">
            <v>PNZLRA97M46C638 G</v>
          </cell>
          <cell r="E1953" t="str">
            <v>VIA LAGUNA, 8</v>
          </cell>
          <cell r="F1953">
            <v>30015</v>
          </cell>
          <cell r="G1953" t="str">
            <v>CHIOGGIA</v>
          </cell>
          <cell r="H1953" t="str">
            <v>VE</v>
          </cell>
          <cell r="I1953" t="str">
            <v>ITALIA</v>
          </cell>
          <cell r="J1953" t="str">
            <v>339-5826746</v>
          </cell>
        </row>
        <row r="1954">
          <cell r="B1954">
            <v>3393</v>
          </cell>
          <cell r="C1954" t="str">
            <v>PEPPO SELF DI  ARNAUDO  GIANCARLO &amp; C. S. N.C.</v>
          </cell>
          <cell r="D1954" t="str">
            <v>03074460043 03074460043</v>
          </cell>
          <cell r="E1954" t="str">
            <v>CORSO NIZZA 74/76</v>
          </cell>
          <cell r="F1954">
            <v>12011</v>
          </cell>
          <cell r="G1954" t="str">
            <v>BORGO SAN  DALMAZZO</v>
          </cell>
          <cell r="H1954" t="str">
            <v>CN</v>
          </cell>
          <cell r="I1954" t="str">
            <v>ITALIA</v>
          </cell>
          <cell r="J1954" t="str">
            <v>0171-767207</v>
          </cell>
        </row>
        <row r="1955">
          <cell r="B1955">
            <v>7138</v>
          </cell>
          <cell r="C1955" t="str">
            <v>PEREN ANDREA</v>
          </cell>
          <cell r="D1955" t="str">
            <v>PRNNDR80M07B639 P</v>
          </cell>
          <cell r="E1955" t="str">
            <v>VIA PAPA GIOVANNI 53</v>
          </cell>
          <cell r="F1955">
            <v>22040</v>
          </cell>
          <cell r="G1955" t="str">
            <v>ALZATE BRIANZA</v>
          </cell>
          <cell r="H1955" t="str">
            <v>CO</v>
          </cell>
          <cell r="I1955" t="str">
            <v>ITALIA</v>
          </cell>
          <cell r="J1955" t="str">
            <v>339-8049368</v>
          </cell>
        </row>
        <row r="1956">
          <cell r="B1956">
            <v>3838</v>
          </cell>
          <cell r="C1956" t="str">
            <v>PERES FABIO  DANIELE</v>
          </cell>
          <cell r="D1956" t="str">
            <v>07911840010 PRSFDN66L31L727C</v>
          </cell>
          <cell r="E1956" t="str">
            <v>VIA DON SAPINO, 13/F</v>
          </cell>
          <cell r="F1956">
            <v>10078</v>
          </cell>
          <cell r="G1956" t="str">
            <v>VENARIA REALE</v>
          </cell>
          <cell r="H1956" t="str">
            <v>TO</v>
          </cell>
          <cell r="I1956" t="str">
            <v>ITALIA</v>
          </cell>
        </row>
        <row r="1957">
          <cell r="B1957">
            <v>4400</v>
          </cell>
          <cell r="C1957" t="str">
            <v>PERRAZZELLI EMILIO</v>
          </cell>
          <cell r="D1957" t="str">
            <v>PRRMLE56P13L113T</v>
          </cell>
          <cell r="E1957" t="str">
            <v>VIA EXILLES, 16</v>
          </cell>
          <cell r="F1957">
            <v>10146</v>
          </cell>
          <cell r="G1957" t="str">
            <v>TORINO</v>
          </cell>
          <cell r="H1957" t="str">
            <v>TO</v>
          </cell>
          <cell r="I1957" t="str">
            <v>ITALIA</v>
          </cell>
          <cell r="J1957" t="str">
            <v>333-3148719</v>
          </cell>
        </row>
        <row r="1958">
          <cell r="B1958">
            <v>5339</v>
          </cell>
          <cell r="C1958" t="str">
            <v>PERRERO CAFFE' S. R.L.</v>
          </cell>
          <cell r="D1958" t="str">
            <v>05396850017</v>
          </cell>
          <cell r="E1958" t="str">
            <v>STRADA DEI FORNERO, 4</v>
          </cell>
          <cell r="F1958">
            <v>10070</v>
          </cell>
          <cell r="G1958" t="str">
            <v>SAN CARLO  CANAVESE</v>
          </cell>
          <cell r="H1958" t="str">
            <v>TO</v>
          </cell>
          <cell r="I1958" t="str">
            <v>ITALIA</v>
          </cell>
          <cell r="J1958" t="str">
            <v>011-9208280</v>
          </cell>
        </row>
        <row r="1959">
          <cell r="B1959">
            <v>4944</v>
          </cell>
          <cell r="C1959" t="str">
            <v>PERRONESPRESSO  SAGL</v>
          </cell>
          <cell r="D1959" t="str">
            <v>110038631</v>
          </cell>
          <cell r="E1959" t="str">
            <v>VIA SIALUNGA, 4</v>
          </cell>
          <cell r="F1959">
            <v>6928</v>
          </cell>
          <cell r="G1959" t="str">
            <v>MANNO -  SVIZZERA -</v>
          </cell>
          <cell r="I1959" t="str">
            <v>SVIZZERA</v>
          </cell>
          <cell r="J1959" t="str">
            <v>0041-919436565</v>
          </cell>
        </row>
        <row r="1960">
          <cell r="B1960">
            <v>6576</v>
          </cell>
          <cell r="C1960" t="str">
            <v>PERTUGIO CAFE' DI  GIORDANO SIMONE</v>
          </cell>
          <cell r="D1960" t="str">
            <v>08468270965 GRDSMN86R29H264 P</v>
          </cell>
          <cell r="E1960" t="str">
            <v>CORSO DELLA VITTORIA,  406</v>
          </cell>
          <cell r="F1960">
            <v>21042</v>
          </cell>
          <cell r="G1960" t="str">
            <v>CARONNO  PERTUSELLA</v>
          </cell>
          <cell r="H1960" t="str">
            <v>VA</v>
          </cell>
          <cell r="I1960" t="str">
            <v>ITALIA</v>
          </cell>
        </row>
        <row r="1961">
          <cell r="B1961">
            <v>7230</v>
          </cell>
          <cell r="C1961" t="str">
            <v>PERUZZI GABRIELE</v>
          </cell>
          <cell r="D1961" t="str">
            <v>PRZGRL45C05H501 Q</v>
          </cell>
          <cell r="E1961" t="str">
            <v>VIA VALLE CARBONA, 34</v>
          </cell>
          <cell r="F1961">
            <v>1019</v>
          </cell>
          <cell r="G1961" t="str">
            <v>VETRALLA</v>
          </cell>
          <cell r="H1961" t="str">
            <v>VT</v>
          </cell>
          <cell r="I1961" t="str">
            <v>ITALIA</v>
          </cell>
          <cell r="J1961" t="str">
            <v>392-2729835</v>
          </cell>
        </row>
        <row r="1962">
          <cell r="B1962">
            <v>7297</v>
          </cell>
          <cell r="C1962" t="str">
            <v>PESENTI GRITTI  LEONARDO</v>
          </cell>
          <cell r="D1962" t="str">
            <v>PSNLRD55E29G050 W</v>
          </cell>
          <cell r="E1962" t="str">
            <v>VIA GRIMOLDO 444</v>
          </cell>
          <cell r="F1962">
            <v>24013</v>
          </cell>
          <cell r="G1962" t="str">
            <v>OLTRE IL COLLE</v>
          </cell>
          <cell r="H1962" t="str">
            <v>BG</v>
          </cell>
          <cell r="I1962" t="str">
            <v>ITALIA</v>
          </cell>
          <cell r="J1962" t="str">
            <v>348-0304423</v>
          </cell>
        </row>
        <row r="1963">
          <cell r="B1963">
            <v>6981</v>
          </cell>
          <cell r="C1963" t="str">
            <v>PESOLA SILVIA</v>
          </cell>
          <cell r="D1963" t="str">
            <v>PSLSLV71E58L219B</v>
          </cell>
          <cell r="E1963" t="str">
            <v>VIA LURISIA, 14</v>
          </cell>
          <cell r="F1963">
            <v>10141</v>
          </cell>
          <cell r="G1963" t="str">
            <v>TORINO</v>
          </cell>
          <cell r="H1963" t="str">
            <v>TO</v>
          </cell>
          <cell r="I1963" t="str">
            <v>ITALIA</v>
          </cell>
          <cell r="J1963" t="str">
            <v>339-3243182</v>
          </cell>
        </row>
        <row r="1964">
          <cell r="B1964">
            <v>7223</v>
          </cell>
          <cell r="C1964" t="str">
            <v>PETRA PLANINSCHEK</v>
          </cell>
          <cell r="D1964" t="str">
            <v>02517740219</v>
          </cell>
          <cell r="E1964" t="str">
            <v>VIA REZIA, 31</v>
          </cell>
          <cell r="F1964">
            <v>39046</v>
          </cell>
          <cell r="G1964" t="str">
            <v>ORTISEI</v>
          </cell>
          <cell r="H1964" t="str">
            <v>BZ</v>
          </cell>
          <cell r="I1964" t="str">
            <v>ITALIA</v>
          </cell>
          <cell r="J1964" t="str">
            <v>0471-796175</v>
          </cell>
        </row>
        <row r="1965">
          <cell r="B1965">
            <v>7251</v>
          </cell>
          <cell r="C1965" t="str">
            <v>PETRACCA VIRGINIA</v>
          </cell>
          <cell r="D1965" t="str">
            <v>PTRVGN88E53C349 F</v>
          </cell>
          <cell r="E1965" t="str">
            <v>VIA LAINO CASTELLO 1</v>
          </cell>
          <cell r="F1965">
            <v>87012</v>
          </cell>
          <cell r="G1965" t="str">
            <v>CASTROVILLARI</v>
          </cell>
          <cell r="H1965" t="str">
            <v>CS</v>
          </cell>
          <cell r="I1965" t="str">
            <v>ITALIA</v>
          </cell>
          <cell r="J1965" t="str">
            <v>333-9904205</v>
          </cell>
        </row>
        <row r="1966">
          <cell r="B1966">
            <v>7016</v>
          </cell>
          <cell r="C1966" t="str">
            <v>PETRELLI MARIA</v>
          </cell>
          <cell r="D1966" t="str">
            <v>PTRMRA71T60E506 R</v>
          </cell>
          <cell r="E1966" t="str">
            <v>VIA FRANCO LOMBARDI,  39</v>
          </cell>
          <cell r="F1966">
            <v>173</v>
          </cell>
          <cell r="G1966" t="str">
            <v>ROMA</v>
          </cell>
          <cell r="H1966" t="str">
            <v>RM</v>
          </cell>
          <cell r="I1966" t="str">
            <v>ITALIA</v>
          </cell>
          <cell r="J1966" t="str">
            <v>347-6715442</v>
          </cell>
        </row>
        <row r="1967">
          <cell r="B1967">
            <v>7171</v>
          </cell>
          <cell r="C1967" t="str">
            <v>PEZZETTI DANIELA</v>
          </cell>
          <cell r="D1967" t="str">
            <v>PZZDNL70L51F205E</v>
          </cell>
          <cell r="E1967" t="str">
            <v>VIA ROMA SNC</v>
          </cell>
          <cell r="F1967">
            <v>27020</v>
          </cell>
          <cell r="G1967" t="str">
            <v>SAN GIORGIO  DI LOMELLINA</v>
          </cell>
          <cell r="H1967" t="str">
            <v>PV</v>
          </cell>
          <cell r="I1967" t="str">
            <v>ITALIA</v>
          </cell>
          <cell r="J1967" t="str">
            <v>342-9267147</v>
          </cell>
        </row>
        <row r="1968">
          <cell r="B1968">
            <v>7144</v>
          </cell>
          <cell r="C1968" t="str">
            <v>PEZZETTONI  SANDRO</v>
          </cell>
          <cell r="D1968" t="str">
            <v>PZZSDR48M08E729 J</v>
          </cell>
          <cell r="E1968" t="str">
            <v>VIA DANTE ALIGHIERI, 8</v>
          </cell>
          <cell r="F1968">
            <v>5020</v>
          </cell>
          <cell r="G1968" t="str">
            <v>LUGNANO IN  TEVERINA</v>
          </cell>
          <cell r="H1968" t="str">
            <v>TR</v>
          </cell>
          <cell r="I1968" t="str">
            <v>ITALIA</v>
          </cell>
          <cell r="J1968" t="str">
            <v>338-6315598</v>
          </cell>
        </row>
        <row r="1969">
          <cell r="B1969">
            <v>7412</v>
          </cell>
          <cell r="C1969" t="str">
            <v>PEZZICA SARA</v>
          </cell>
          <cell r="D1969" t="str">
            <v>PZZSRA01L66B832 C</v>
          </cell>
          <cell r="E1969" t="str">
            <v>VIA SALVATORE  QUASIMODO 22</v>
          </cell>
          <cell r="F1969">
            <v>54033</v>
          </cell>
          <cell r="G1969" t="str">
            <v>CARRARA</v>
          </cell>
          <cell r="H1969" t="str">
            <v>MS</v>
          </cell>
          <cell r="I1969" t="str">
            <v>ITALIA</v>
          </cell>
          <cell r="J1969" t="str">
            <v>392-7084233</v>
          </cell>
        </row>
        <row r="1970">
          <cell r="B1970">
            <v>7439</v>
          </cell>
          <cell r="C1970" t="str">
            <v>PEZZOTTA EMILY</v>
          </cell>
          <cell r="D1970" t="str">
            <v>PZZMLY00D50E372 Y</v>
          </cell>
          <cell r="E1970" t="str">
            <v>VIA CARDUCCI 39</v>
          </cell>
          <cell r="F1970">
            <v>86036</v>
          </cell>
          <cell r="G1970" t="str">
            <v>MONTENERO DI  BISACCIA</v>
          </cell>
          <cell r="H1970" t="str">
            <v>CB</v>
          </cell>
          <cell r="I1970" t="str">
            <v>ITALIA</v>
          </cell>
          <cell r="J1970" t="str">
            <v>347-3747955</v>
          </cell>
        </row>
        <row r="1971">
          <cell r="B1971">
            <v>4245</v>
          </cell>
          <cell r="C1971" t="str">
            <v>PHILADELPHIA  VENDING</v>
          </cell>
          <cell r="D1971" t="str">
            <v>00000000000</v>
          </cell>
          <cell r="E1971" t="str">
            <v>HUSSENI SUBAR, 44 -  WADI AL SEER</v>
          </cell>
          <cell r="F1971"/>
          <cell r="G1971" t="str">
            <v>AMMAN -  GIORDANIA</v>
          </cell>
          <cell r="I1971" t="str">
            <v>GIORDANIA</v>
          </cell>
          <cell r="J1971" t="str">
            <v xml:space="preserve">0096-265828088 </v>
          </cell>
        </row>
        <row r="1972">
          <cell r="B1972">
            <v>4248</v>
          </cell>
          <cell r="C1972" t="str">
            <v>PIA CAFFE' S.N.C.  DI PIA CLAUDIO E  LUCA</v>
          </cell>
          <cell r="D1972" t="str">
            <v>00191560994 02719950103</v>
          </cell>
          <cell r="E1972" t="str">
            <v>VIA MARTIRI DELLA  LIBERAZIONE, 17</v>
          </cell>
          <cell r="F1972">
            <v>16043</v>
          </cell>
          <cell r="G1972" t="str">
            <v>CHIAVARI</v>
          </cell>
          <cell r="H1972" t="str">
            <v>GE</v>
          </cell>
          <cell r="I1972" t="str">
            <v>ITALIA</v>
          </cell>
          <cell r="J1972" t="str">
            <v>0185-308031</v>
          </cell>
        </row>
        <row r="1973">
          <cell r="B1973">
            <v>7459</v>
          </cell>
          <cell r="C1973" t="str">
            <v>PIAGENTINI ANDREA</v>
          </cell>
          <cell r="D1973" t="str">
            <v>PGNNDR66H22E715 Q</v>
          </cell>
          <cell r="E1973" t="str">
            <v>VIA PAPA GIOVANNI  XXIII 66 FORNOLI</v>
          </cell>
          <cell r="F1973">
            <v>55022</v>
          </cell>
          <cell r="G1973" t="str">
            <v>BAGNI DI LUCCA</v>
          </cell>
          <cell r="H1973" t="str">
            <v>LU</v>
          </cell>
          <cell r="I1973" t="str">
            <v>ITALIA</v>
          </cell>
          <cell r="J1973" t="str">
            <v>0583-867883</v>
          </cell>
        </row>
        <row r="1974">
          <cell r="B1974">
            <v>5563</v>
          </cell>
          <cell r="C1974" t="str">
            <v>PIANETA PIZZA S.N.C.</v>
          </cell>
          <cell r="D1974" t="str">
            <v>01363460997 01363460997</v>
          </cell>
          <cell r="E1974" t="str">
            <v>VIA G.B MONTI, 60R</v>
          </cell>
          <cell r="F1974">
            <v>16100</v>
          </cell>
          <cell r="G1974" t="str">
            <v>GENOVA</v>
          </cell>
          <cell r="H1974" t="str">
            <v>GE</v>
          </cell>
          <cell r="I1974" t="str">
            <v>ITALIA</v>
          </cell>
          <cell r="J1974" t="str">
            <v>010-4699707</v>
          </cell>
        </row>
        <row r="1975">
          <cell r="B1975">
            <v>3926</v>
          </cell>
          <cell r="C1975" t="str">
            <v>PIANETA VENDING S. N.C. DI CARDUCCI  MARCO</v>
          </cell>
          <cell r="D1975" t="str">
            <v>07101761000 07101761000</v>
          </cell>
          <cell r="E1975" t="str">
            <v>VIA MARMOLADA, 6</v>
          </cell>
          <cell r="F1975">
            <v>16</v>
          </cell>
          <cell r="G1975" t="str">
            <v>MONTEROTONDO</v>
          </cell>
          <cell r="H1975" t="str">
            <v>RM</v>
          </cell>
          <cell r="I1975" t="str">
            <v>ITALIA</v>
          </cell>
          <cell r="J1975" t="str">
            <v>06-9069511</v>
          </cell>
        </row>
        <row r="1976">
          <cell r="B1976">
            <v>4647</v>
          </cell>
          <cell r="C1976" t="str">
            <v>PICCALUGA  ANNIBALE CARLO  ANGELO</v>
          </cell>
          <cell r="D1976" t="str">
            <v>03999090016 PCCNBL54A21L219 O</v>
          </cell>
          <cell r="E1976" t="str">
            <v>VIA TUNISI, 46</v>
          </cell>
          <cell r="F1976">
            <v>10134</v>
          </cell>
          <cell r="G1976" t="str">
            <v>TORINO</v>
          </cell>
          <cell r="H1976" t="str">
            <v>TO</v>
          </cell>
          <cell r="I1976" t="str">
            <v>ITALIA</v>
          </cell>
          <cell r="J1976" t="str">
            <v>347-7308208</v>
          </cell>
        </row>
        <row r="1977">
          <cell r="B1977">
            <v>7264</v>
          </cell>
          <cell r="C1977" t="str">
            <v>PICCHI MONICA</v>
          </cell>
          <cell r="D1977" t="str">
            <v>PCCMNC63A63M12 5Z</v>
          </cell>
          <cell r="E1977" t="str">
            <v>VIA ROMA 71</v>
          </cell>
          <cell r="F1977">
            <v>46049</v>
          </cell>
          <cell r="G1977" t="str">
            <v>VOLTA  MANTOVANA</v>
          </cell>
          <cell r="H1977" t="str">
            <v>MN</v>
          </cell>
          <cell r="I1977" t="str">
            <v>ITALIA</v>
          </cell>
          <cell r="J1977" t="str">
            <v>333-5489635</v>
          </cell>
        </row>
        <row r="1978">
          <cell r="B1978">
            <v>6733</v>
          </cell>
          <cell r="C1978" t="str">
            <v>PICCININNI MAURO</v>
          </cell>
          <cell r="D1978" t="str">
            <v>06501340969</v>
          </cell>
          <cell r="E1978" t="str">
            <v>PIAZZA DELLA VITTORIA,  15</v>
          </cell>
          <cell r="F1978">
            <v>20014</v>
          </cell>
          <cell r="G1978" t="str">
            <v>NERVIANO</v>
          </cell>
          <cell r="H1978" t="str">
            <v>MI</v>
          </cell>
          <cell r="I1978" t="str">
            <v>ITALIA</v>
          </cell>
          <cell r="J1978" t="str">
            <v>348-5253911</v>
          </cell>
        </row>
        <row r="1979">
          <cell r="B1979">
            <v>6043</v>
          </cell>
          <cell r="C1979" t="str">
            <v>PICCOLA CASA DELLA DIV. PROVV. "SCUOLA COTTOLENGO"</v>
          </cell>
          <cell r="D1979" t="str">
            <v>01538340017 01538340017</v>
          </cell>
          <cell r="E1979" t="str">
            <v>VIA COTTOLENGO, 14</v>
          </cell>
          <cell r="F1979">
            <v>10152</v>
          </cell>
          <cell r="G1979" t="str">
            <v>TORINO</v>
          </cell>
          <cell r="H1979" t="str">
            <v>TO</v>
          </cell>
          <cell r="I1979" t="str">
            <v>ITALIA</v>
          </cell>
          <cell r="J1979" t="str">
            <v>347-2298273</v>
          </cell>
        </row>
        <row r="1980">
          <cell r="B1980">
            <v>6929</v>
          </cell>
          <cell r="C1980" t="str">
            <v>PICCOLE EMOZIONI  S.R.L.S.</v>
          </cell>
          <cell r="D1980" t="str">
            <v>12222350014 12222350014</v>
          </cell>
          <cell r="E1980" t="str">
            <v>CORSO ORBASSANO, 164</v>
          </cell>
          <cell r="F1980">
            <v>10137</v>
          </cell>
          <cell r="G1980" t="str">
            <v>TORINO</v>
          </cell>
          <cell r="H1980" t="str">
            <v>TO</v>
          </cell>
          <cell r="I1980" t="str">
            <v>ITALIA</v>
          </cell>
          <cell r="J1980" t="str">
            <v>011-7807668</v>
          </cell>
        </row>
        <row r="1981">
          <cell r="B1981">
            <v>6121</v>
          </cell>
          <cell r="C1981" t="str">
            <v>PICCOLO CHALET  SNC DI ARNAUD  STEFANO &amp; C.</v>
          </cell>
          <cell r="D1981" t="str">
            <v>07833900017 07833900017</v>
          </cell>
          <cell r="E1981" t="str">
            <v>VIA TORINO, 7</v>
          </cell>
          <cell r="F1981">
            <v>10050</v>
          </cell>
          <cell r="G1981" t="str">
            <v>CLAVIERE</v>
          </cell>
          <cell r="H1981" t="str">
            <v>TO</v>
          </cell>
          <cell r="I1981" t="str">
            <v>ITALIA</v>
          </cell>
          <cell r="J1981" t="str">
            <v>0122-878806</v>
          </cell>
        </row>
        <row r="1982">
          <cell r="B1982">
            <v>5031</v>
          </cell>
          <cell r="C1982" t="str">
            <v>PICCOLO CHALET S. A.S. DI SIMIAN  FRANCESCO &amp; C.</v>
          </cell>
          <cell r="D1982" t="str">
            <v>05818310012</v>
          </cell>
          <cell r="E1982" t="str">
            <v>VIALE GENEVRIS, 6</v>
          </cell>
          <cell r="F1982">
            <v>10050</v>
          </cell>
          <cell r="G1982" t="str">
            <v>SOUZE D'OULX</v>
          </cell>
          <cell r="H1982" t="str">
            <v>TO</v>
          </cell>
          <cell r="I1982" t="str">
            <v>ITALIA</v>
          </cell>
          <cell r="J1982" t="str">
            <v>0122-858706</v>
          </cell>
        </row>
        <row r="1983">
          <cell r="B1983">
            <v>5690</v>
          </cell>
          <cell r="C1983" t="str">
            <v>PIEMONT  CIOCCOLATO S.N.C. DI FIORASO A. &amp; C.</v>
          </cell>
          <cell r="D1983" t="str">
            <v>01681090013</v>
          </cell>
          <cell r="E1983" t="str">
            <v>VIA GRAN PARADISO,  16/23</v>
          </cell>
          <cell r="F1983">
            <v>10156</v>
          </cell>
          <cell r="G1983" t="str">
            <v>TORINO</v>
          </cell>
          <cell r="H1983" t="str">
            <v>TO</v>
          </cell>
          <cell r="I1983" t="str">
            <v>ITALIA</v>
          </cell>
        </row>
        <row r="1984">
          <cell r="B1984">
            <v>4552</v>
          </cell>
          <cell r="C1984" t="str">
            <v>PIEMONT S.A.S. di  FIORASO VALERIO &amp;  C.</v>
          </cell>
          <cell r="D1984" t="str">
            <v>08035170011 08035170011</v>
          </cell>
          <cell r="E1984" t="str">
            <v>VIA BOLOGNA, 220 int. 4</v>
          </cell>
          <cell r="F1984">
            <v>10154</v>
          </cell>
          <cell r="G1984" t="str">
            <v>TORINO</v>
          </cell>
          <cell r="H1984" t="str">
            <v>TO</v>
          </cell>
          <cell r="I1984" t="str">
            <v>ITALIA</v>
          </cell>
          <cell r="J1984" t="str">
            <v>011-7651066</v>
          </cell>
        </row>
        <row r="1985">
          <cell r="B1985">
            <v>4607</v>
          </cell>
          <cell r="C1985" t="str">
            <v>PIESSE GROUP DI  STOPPA NADIA</v>
          </cell>
          <cell r="D1985" t="str">
            <v>11160370018 STPNDA75B64L219 Z</v>
          </cell>
          <cell r="E1985" t="str">
            <v>VIA LEINI, 148/A</v>
          </cell>
          <cell r="F1985">
            <v>10036</v>
          </cell>
          <cell r="G1985" t="str">
            <v>SETTIMO  TORINESE</v>
          </cell>
          <cell r="H1985" t="str">
            <v>TO</v>
          </cell>
          <cell r="I1985" t="str">
            <v>ITALIA</v>
          </cell>
          <cell r="J1985" t="str">
            <v>011-9910813</v>
          </cell>
        </row>
        <row r="1986">
          <cell r="B1986">
            <v>7484</v>
          </cell>
          <cell r="C1986" t="str">
            <v>PIGA ERICA</v>
          </cell>
          <cell r="D1986" t="str">
            <v>PGIRCE76L53H355V</v>
          </cell>
          <cell r="E1986" t="str">
            <v>VIA CORIO 8</v>
          </cell>
          <cell r="F1986">
            <v>10098</v>
          </cell>
          <cell r="G1986" t="str">
            <v>RIVOLI</v>
          </cell>
          <cell r="H1986" t="str">
            <v>TO</v>
          </cell>
          <cell r="I1986" t="str">
            <v>ITALIA</v>
          </cell>
          <cell r="J1986" t="str">
            <v>342-0874187</v>
          </cell>
        </row>
        <row r="1987">
          <cell r="B1987">
            <v>8379</v>
          </cell>
          <cell r="C1987" t="str">
            <v>PILOT INTERNATIONAL SP. Z.O.O. SPOLKA</v>
          </cell>
          <cell r="E1987" t="str">
            <v>UL. STANIEWICKA, 5</v>
          </cell>
          <cell r="F1987">
            <v>3310</v>
          </cell>
          <cell r="G1987" t="str">
            <v>WARSZAWA</v>
          </cell>
          <cell r="H1987" t="str">
            <v>PL</v>
          </cell>
          <cell r="I1987" t="str">
            <v>POLONIA</v>
          </cell>
          <cell r="J1987" t="str">
            <v>0048-222052540</v>
          </cell>
        </row>
        <row r="1988">
          <cell r="B1988">
            <v>5319</v>
          </cell>
          <cell r="C1988" t="str">
            <v>PINI MANUELA</v>
          </cell>
          <cell r="D1988" t="str">
            <v>01060340096 PNIMNL64A42I138H</v>
          </cell>
          <cell r="E1988" t="str">
            <v>VIA F. CILEA 6/16</v>
          </cell>
          <cell r="F1988">
            <v>17100</v>
          </cell>
          <cell r="G1988" t="str">
            <v>SAVONA</v>
          </cell>
          <cell r="H1988" t="str">
            <v>SV</v>
          </cell>
          <cell r="I1988" t="str">
            <v>ITALIA</v>
          </cell>
          <cell r="J1988" t="str">
            <v xml:space="preserve">019-808455 </v>
          </cell>
        </row>
        <row r="1989">
          <cell r="B1989">
            <v>6015</v>
          </cell>
          <cell r="C1989" t="str">
            <v>PIRAMIDE  ROMANO</v>
          </cell>
          <cell r="D1989" t="str">
            <v>07658680017 PRMRMN37B28L219 D</v>
          </cell>
          <cell r="E1989" t="str">
            <v>VIA FILADELFIA, 149/B</v>
          </cell>
          <cell r="F1989">
            <v>10137</v>
          </cell>
          <cell r="G1989" t="str">
            <v>TORINO</v>
          </cell>
          <cell r="H1989" t="str">
            <v>TO</v>
          </cell>
          <cell r="I1989" t="str">
            <v>ITALIA</v>
          </cell>
          <cell r="J1989" t="str">
            <v>011-354138</v>
          </cell>
        </row>
        <row r="1990">
          <cell r="B1990">
            <v>4918</v>
          </cell>
          <cell r="C1990" t="str">
            <v>PIRAMIDE ROMANO</v>
          </cell>
          <cell r="D1990" t="str">
            <v>PRMRMN37B28L219 D</v>
          </cell>
          <cell r="E1990" t="str">
            <v>VIA FILADELFIA 149/D</v>
          </cell>
          <cell r="F1990">
            <v>10100</v>
          </cell>
          <cell r="G1990" t="str">
            <v>TORINO</v>
          </cell>
          <cell r="H1990" t="str">
            <v>TO</v>
          </cell>
          <cell r="I1990" t="str">
            <v>ITALIA</v>
          </cell>
        </row>
        <row r="1991">
          <cell r="B1991">
            <v>6786</v>
          </cell>
          <cell r="C1991" t="str">
            <v>PIROLA F. &amp; FIGLI  SPA</v>
          </cell>
          <cell r="D1991" t="str">
            <v>00697950962 00861440154</v>
          </cell>
          <cell r="E1991" t="str">
            <v>VIA BUONARROTI, 20</v>
          </cell>
          <cell r="F1991">
            <v>20900</v>
          </cell>
          <cell r="G1991" t="str">
            <v>MONZA</v>
          </cell>
          <cell r="H1991" t="str">
            <v>MI</v>
          </cell>
          <cell r="I1991" t="str">
            <v>ITALIA</v>
          </cell>
          <cell r="J1991" t="str">
            <v>392-815111</v>
          </cell>
        </row>
        <row r="1992">
          <cell r="B1992">
            <v>7490</v>
          </cell>
          <cell r="C1992" t="str">
            <v>PIROZZI SIMONE</v>
          </cell>
          <cell r="D1992" t="str">
            <v>03540670969</v>
          </cell>
          <cell r="E1992" t="str">
            <v>VIA LONGARONE, 10</v>
          </cell>
          <cell r="F1992">
            <v>20900</v>
          </cell>
          <cell r="G1992" t="str">
            <v>MONZA</v>
          </cell>
          <cell r="H1992" t="str">
            <v>MB</v>
          </cell>
          <cell r="I1992" t="str">
            <v>ITALIA</v>
          </cell>
          <cell r="J1992" t="str">
            <v>339-7392424</v>
          </cell>
        </row>
        <row r="1993">
          <cell r="B1993">
            <v>2728</v>
          </cell>
          <cell r="C1993" t="str">
            <v>PISA PIZZA DI  DE CONTI RENZO</v>
          </cell>
          <cell r="D1993" t="str">
            <v>01743080507 DCNRNZ68M09G84 3H</v>
          </cell>
          <cell r="E1993" t="str">
            <v>VIA CURTATONE A  MONTANARA, 19/21</v>
          </cell>
          <cell r="F1993">
            <v>56100</v>
          </cell>
          <cell r="G1993" t="str">
            <v>PISA</v>
          </cell>
          <cell r="H1993" t="str">
            <v>PI</v>
          </cell>
          <cell r="I1993" t="str">
            <v>ITALIA</v>
          </cell>
          <cell r="J1993" t="str">
            <v>050-20320</v>
          </cell>
        </row>
        <row r="1994">
          <cell r="B1994">
            <v>10097</v>
          </cell>
          <cell r="C1994" t="str">
            <v>PIT COFFEE DI LUANA FERRO</v>
          </cell>
          <cell r="E1994" t="str">
            <v>VIA TOGLIATTI, 26</v>
          </cell>
          <cell r="F1994">
            <v>27051</v>
          </cell>
          <cell r="G1994" t="str">
            <v>CAVA MANARA</v>
          </cell>
          <cell r="H1994" t="str">
            <v>PV</v>
          </cell>
          <cell r="I1994" t="str">
            <v>ITALIA</v>
          </cell>
          <cell r="J1994" t="str">
            <v>340-9087341</v>
          </cell>
        </row>
        <row r="1995">
          <cell r="B1995">
            <v>4416</v>
          </cell>
          <cell r="C1995" t="str">
            <v>PIT STOP DI  GIORDANO GIAN  LUCA</v>
          </cell>
          <cell r="D1995" t="str">
            <v>10439090019 GRDGLC71A03L219 L</v>
          </cell>
          <cell r="E1995" t="str">
            <v>VIA COAZZE, 7</v>
          </cell>
          <cell r="F1995">
            <v>10090</v>
          </cell>
          <cell r="G1995" t="str">
            <v>TRANA</v>
          </cell>
          <cell r="H1995" t="str">
            <v>TO</v>
          </cell>
          <cell r="I1995" t="str">
            <v>ITALIA</v>
          </cell>
          <cell r="J1995" t="str">
            <v>333-4654142</v>
          </cell>
        </row>
        <row r="1996">
          <cell r="B1996">
            <v>7141</v>
          </cell>
          <cell r="C1996" t="str">
            <v>PITTALUGA FULVIA</v>
          </cell>
          <cell r="D1996" t="str">
            <v>PTTFLV53T55D969J</v>
          </cell>
          <cell r="E1996" t="str">
            <v>VIA PASTINE 7/8</v>
          </cell>
          <cell r="F1996">
            <v>16038</v>
          </cell>
          <cell r="G1996" t="str">
            <v>SANTA  MARGHERITA  LIGURE</v>
          </cell>
          <cell r="H1996" t="str">
            <v>GE</v>
          </cell>
          <cell r="I1996" t="str">
            <v>ITALIA</v>
          </cell>
          <cell r="J1996" t="str">
            <v>342-5535532</v>
          </cell>
        </row>
        <row r="1997">
          <cell r="B1997">
            <v>3114</v>
          </cell>
          <cell r="C1997" t="str">
            <v>PLANET CAFE' DI  BRAMBILLA  ROLDANO</v>
          </cell>
          <cell r="D1997" t="str">
            <v>03143940165 BRMRDN72P16L667 D</v>
          </cell>
          <cell r="E1997" t="str">
            <v>VIA PASCOLI, 10</v>
          </cell>
          <cell r="F1997">
            <v>24040</v>
          </cell>
          <cell r="G1997" t="str">
            <v>COMUN NUOVO</v>
          </cell>
          <cell r="H1997" t="str">
            <v>BG</v>
          </cell>
          <cell r="I1997" t="str">
            <v>ITALIA</v>
          </cell>
          <cell r="J1997" t="str">
            <v>333-9277337</v>
          </cell>
        </row>
        <row r="1998">
          <cell r="B1998">
            <v>2906</v>
          </cell>
          <cell r="C1998" t="str">
            <v>PLANET S.A.S  DI  BURZIO M.&amp; C.</v>
          </cell>
          <cell r="D1998" t="str">
            <v>06944060018 06944060018</v>
          </cell>
          <cell r="E1998" t="str">
            <v>VIA ANDEZENO, 37</v>
          </cell>
          <cell r="F1998">
            <v>10023</v>
          </cell>
          <cell r="G1998" t="str">
            <v>CHIERI</v>
          </cell>
          <cell r="H1998" t="str">
            <v>TO</v>
          </cell>
          <cell r="I1998" t="str">
            <v>ITALIA</v>
          </cell>
          <cell r="J1998" t="str">
            <v xml:space="preserve">011-9405844 </v>
          </cell>
        </row>
        <row r="1999">
          <cell r="B1999">
            <v>7108</v>
          </cell>
          <cell r="C1999" t="str">
            <v>PLUCHINO RAFFAELE</v>
          </cell>
          <cell r="D1999" t="str">
            <v>00668650187 PLCRFL63H01H163L</v>
          </cell>
          <cell r="E1999" t="str">
            <v>VIA STEFANO POLLINI, 69</v>
          </cell>
          <cell r="F1999">
            <v>27030</v>
          </cell>
          <cell r="G1999" t="str">
            <v>ZINASCO</v>
          </cell>
          <cell r="H1999" t="str">
            <v>PV</v>
          </cell>
          <cell r="I1999" t="str">
            <v>ITALIA</v>
          </cell>
          <cell r="J1999" t="str">
            <v>360-311279</v>
          </cell>
        </row>
        <row r="2000">
          <cell r="B2000">
            <v>6631</v>
          </cell>
          <cell r="C2000" t="str">
            <v>PM FOOD S.A.S. DI PRINCE MARIAPIA</v>
          </cell>
          <cell r="E2000" t="str">
            <v>VIA PAOLO EMILIO BENSA, 22 ROSSO</v>
          </cell>
          <cell r="F2000">
            <v>16124</v>
          </cell>
          <cell r="G2000" t="str">
            <v>GENOVA</v>
          </cell>
          <cell r="H2000" t="str">
            <v>GE</v>
          </cell>
          <cell r="I2000" t="str">
            <v>ITALIA</v>
          </cell>
          <cell r="J2000" t="str">
            <v>320-9356976</v>
          </cell>
        </row>
        <row r="2001">
          <cell r="B2001">
            <v>5147</v>
          </cell>
          <cell r="C2001" t="str">
            <v>PO.MA S.R.L.</v>
          </cell>
          <cell r="D2001" t="str">
            <v>07568410018 07568410018</v>
          </cell>
          <cell r="E2001" t="str">
            <v>VIA CAVOUR, 5</v>
          </cell>
          <cell r="F2001">
            <v>10070</v>
          </cell>
          <cell r="G2001" t="str">
            <v>ROBASSOMERO</v>
          </cell>
          <cell r="H2001" t="str">
            <v>TO</v>
          </cell>
          <cell r="I2001" t="str">
            <v>ITALIA</v>
          </cell>
          <cell r="J2001" t="str">
            <v>011-9241014</v>
          </cell>
        </row>
        <row r="2002">
          <cell r="B2002">
            <v>6991</v>
          </cell>
          <cell r="C2002" t="str">
            <v>PODETTA LAURA</v>
          </cell>
          <cell r="D2002" t="str">
            <v>PDTLRA81H53B157 H</v>
          </cell>
          <cell r="E2002" t="str">
            <v>VIA FABIO FILZI, 105</v>
          </cell>
          <cell r="F2002">
            <v>25128</v>
          </cell>
          <cell r="G2002" t="str">
            <v>BRESCIA</v>
          </cell>
          <cell r="H2002" t="str">
            <v>BS</v>
          </cell>
          <cell r="I2002" t="str">
            <v>ITALIA</v>
          </cell>
          <cell r="J2002" t="str">
            <v>338-4642307</v>
          </cell>
        </row>
        <row r="2003">
          <cell r="B2003">
            <v>7029</v>
          </cell>
          <cell r="C2003" t="str">
            <v>POGGIOGALLE  SILVIA</v>
          </cell>
          <cell r="D2003" t="str">
            <v>PGGSLV82D64L025 H</v>
          </cell>
          <cell r="E2003" t="str">
            <v>VIA CAPPADOCIA, 10</v>
          </cell>
          <cell r="F2003">
            <v>67069</v>
          </cell>
          <cell r="G2003" t="str">
            <v>TAGLIACOZZO</v>
          </cell>
          <cell r="H2003" t="str">
            <v>AQ</v>
          </cell>
          <cell r="I2003" t="str">
            <v>ITALIA</v>
          </cell>
          <cell r="J2003" t="str">
            <v>348-9118038</v>
          </cell>
        </row>
        <row r="2004">
          <cell r="B2004">
            <v>4490</v>
          </cell>
          <cell r="C2004" t="str">
            <v>POLARE SOCIETA' CONSORTILE A RESP. LIM.</v>
          </cell>
          <cell r="D2004" t="str">
            <v>11014330010 11014330010</v>
          </cell>
          <cell r="E2004" t="str">
            <v>VIA GIOBERTI, 48/B</v>
          </cell>
          <cell r="F2004">
            <v>10036</v>
          </cell>
          <cell r="G2004" t="str">
            <v>SETTIMO  TORINESE</v>
          </cell>
          <cell r="H2004" t="str">
            <v>TO</v>
          </cell>
          <cell r="I2004" t="str">
            <v>ITALIA</v>
          </cell>
        </row>
        <row r="2005">
          <cell r="B2005">
            <v>4296</v>
          </cell>
          <cell r="C2005" t="str">
            <v>POLE POSITION S.N. C. DI PAVAN  EUGENIO &amp; C.</v>
          </cell>
          <cell r="D2005" t="str">
            <v>02446150134 02446150134</v>
          </cell>
          <cell r="E2005" t="str">
            <v>VIA DEL RI, 6</v>
          </cell>
          <cell r="F2005">
            <v>22071</v>
          </cell>
          <cell r="G2005" t="str">
            <v>VERTEMATE CON  MINOPRIO</v>
          </cell>
          <cell r="H2005" t="str">
            <v>CO</v>
          </cell>
          <cell r="I2005" t="str">
            <v>ITALIA</v>
          </cell>
          <cell r="J2005" t="str">
            <v xml:space="preserve">031-880093 </v>
          </cell>
        </row>
        <row r="2006">
          <cell r="B2006">
            <v>4431</v>
          </cell>
          <cell r="C2006" t="str">
            <v>POLETTI ANGELO</v>
          </cell>
          <cell r="D2006" t="str">
            <v>PLTNGL42E03B185M</v>
          </cell>
          <cell r="E2006" t="str">
            <v>VIA AFRICA, 3</v>
          </cell>
          <cell r="F2006">
            <v>22063</v>
          </cell>
          <cell r="G2006" t="str">
            <v>CANTU'</v>
          </cell>
          <cell r="H2006" t="str">
            <v>CO</v>
          </cell>
          <cell r="I2006" t="str">
            <v>ITALIA</v>
          </cell>
          <cell r="J2006" t="str">
            <v>338-1157285</v>
          </cell>
        </row>
        <row r="2007">
          <cell r="B2007">
            <v>7405</v>
          </cell>
          <cell r="C2007" t="str">
            <v>POLETTO CLAUDIO</v>
          </cell>
          <cell r="D2007" t="str">
            <v>PLTCLD60R12B885 D</v>
          </cell>
          <cell r="E2007" t="str">
            <v>VIA SAN SEBASTIANO, 4</v>
          </cell>
          <cell r="F2007">
            <v>13010</v>
          </cell>
          <cell r="G2007" t="str">
            <v>MOTTA DE CONTI</v>
          </cell>
          <cell r="H2007" t="str">
            <v>VC</v>
          </cell>
          <cell r="I2007" t="str">
            <v>ITALIA</v>
          </cell>
          <cell r="J2007" t="str">
            <v>347-2529250</v>
          </cell>
        </row>
        <row r="2008">
          <cell r="B2008">
            <v>7143</v>
          </cell>
          <cell r="C2008" t="str">
            <v>POLIANDRI  FABRIZIO</v>
          </cell>
          <cell r="D2008" t="str">
            <v>PLNFRZ58C29C901 O</v>
          </cell>
          <cell r="E2008" t="str">
            <v>VIA TRONTO VECCHIO,  10/A</v>
          </cell>
          <cell r="F2008">
            <v>64014</v>
          </cell>
          <cell r="G2008" t="str">
            <v>MARTINSICURO</v>
          </cell>
          <cell r="H2008" t="str">
            <v>TE</v>
          </cell>
          <cell r="I2008" t="str">
            <v>ITALIA</v>
          </cell>
          <cell r="J2008" t="str">
            <v>338-4966565</v>
          </cell>
        </row>
        <row r="2009">
          <cell r="B2009">
            <v>6994</v>
          </cell>
          <cell r="C2009" t="str">
            <v>POLIZZI FEDERICA</v>
          </cell>
          <cell r="D2009" t="str">
            <v>PLZFRC72P48D969 S</v>
          </cell>
          <cell r="E2009" t="str">
            <v>VIA SAVAGNA, 15 C</v>
          </cell>
          <cell r="F2009">
            <v>16035</v>
          </cell>
          <cell r="G2009" t="str">
            <v>RAPALLO</v>
          </cell>
          <cell r="H2009" t="str">
            <v>GE</v>
          </cell>
          <cell r="I2009" t="str">
            <v>ITALIA</v>
          </cell>
          <cell r="J2009" t="str">
            <v>331-4349745</v>
          </cell>
        </row>
        <row r="2010">
          <cell r="B2010">
            <v>4619</v>
          </cell>
          <cell r="C2010" t="str">
            <v>POLLIFRONE  MASSIMO</v>
          </cell>
          <cell r="D2010" t="str">
            <v>09035680017 09035680017</v>
          </cell>
          <cell r="E2010" t="str">
            <v>VIA FRASSINETO, 2</v>
          </cell>
          <cell r="F2010">
            <v>10139</v>
          </cell>
          <cell r="G2010" t="str">
            <v>TORINO</v>
          </cell>
          <cell r="H2010" t="str">
            <v>TO</v>
          </cell>
          <cell r="I2010" t="str">
            <v>ITALIA</v>
          </cell>
          <cell r="J2010" t="str">
            <v>347-2953678</v>
          </cell>
        </row>
        <row r="2011">
          <cell r="B2011">
            <v>4996</v>
          </cell>
          <cell r="C2011" t="str">
            <v>POMA ANGELO</v>
          </cell>
          <cell r="D2011" t="str">
            <v>03704860984 PMONGL81T24E704 K</v>
          </cell>
          <cell r="E2011" t="str">
            <v>PIAZZA UMBERTO I, 10/B</v>
          </cell>
          <cell r="F2011">
            <v>25055</v>
          </cell>
          <cell r="G2011" t="str">
            <v>PISOGNE</v>
          </cell>
          <cell r="H2011" t="str">
            <v>BS</v>
          </cell>
          <cell r="I2011" t="str">
            <v>ITALIA</v>
          </cell>
          <cell r="J2011" t="str">
            <v>329-2476481</v>
          </cell>
        </row>
        <row r="2012">
          <cell r="B2012">
            <v>7091</v>
          </cell>
          <cell r="C2012" t="str">
            <v>PONTENUOVOHORSE S A.S.D. A.P.S.</v>
          </cell>
          <cell r="D2012" t="str">
            <v>11065010016 95621430016</v>
          </cell>
          <cell r="E2012" t="str">
            <v>VIA TORINO - PIANEZZA,  127</v>
          </cell>
          <cell r="F2012">
            <v>10093</v>
          </cell>
          <cell r="G2012" t="str">
            <v>COLLEGNO</v>
          </cell>
          <cell r="H2012" t="str">
            <v>TO</v>
          </cell>
          <cell r="I2012" t="str">
            <v>ITALIA</v>
          </cell>
          <cell r="J2012" t="str">
            <v>389-5488629</v>
          </cell>
        </row>
        <row r="2013">
          <cell r="B2013">
            <v>7422</v>
          </cell>
          <cell r="C2013" t="str">
            <v>POPPI FABIO</v>
          </cell>
          <cell r="D2013" t="str">
            <v>PPPFBA80E20G467R</v>
          </cell>
          <cell r="E2013" t="str">
            <v>VIA VICO, 24</v>
          </cell>
          <cell r="F2013">
            <v>51037</v>
          </cell>
          <cell r="G2013" t="str">
            <v>MONTALE</v>
          </cell>
          <cell r="H2013" t="str">
            <v>PT</v>
          </cell>
          <cell r="I2013" t="str">
            <v>ITALIA</v>
          </cell>
          <cell r="J2013" t="str">
            <v>339-3778907</v>
          </cell>
        </row>
        <row r="2014">
          <cell r="B2014">
            <v>6484</v>
          </cell>
          <cell r="C2014" t="str">
            <v>PORTAMI VIA DI  GRASSO MAURA</v>
          </cell>
          <cell r="D2014" t="str">
            <v>01741140097 GRSMRA64P62C463 R</v>
          </cell>
          <cell r="E2014" t="str">
            <v>VIA COLLETTE, 191</v>
          </cell>
          <cell r="F2014">
            <v>17012</v>
          </cell>
          <cell r="G2014" t="str">
            <v>ALBISSOLA  MARINA</v>
          </cell>
          <cell r="H2014" t="str">
            <v>SV</v>
          </cell>
          <cell r="I2014" t="str">
            <v>ITALIA</v>
          </cell>
          <cell r="J2014" t="str">
            <v>347-2732099</v>
          </cell>
        </row>
        <row r="2015">
          <cell r="B2015">
            <v>7281</v>
          </cell>
          <cell r="C2015" t="str">
            <v>POZZI SIMONE</v>
          </cell>
          <cell r="D2015" t="str">
            <v>PZZSMN75D11E951 E</v>
          </cell>
          <cell r="E2015" t="str">
            <v>VIA PIAVE 9</v>
          </cell>
          <cell r="F2015">
            <v>20815</v>
          </cell>
          <cell r="G2015" t="str">
            <v>COGLIATE</v>
          </cell>
          <cell r="H2015" t="str">
            <v>MB</v>
          </cell>
          <cell r="I2015" t="str">
            <v>ITALIA</v>
          </cell>
          <cell r="J2015" t="str">
            <v>342-1300927</v>
          </cell>
        </row>
        <row r="2016">
          <cell r="B2016">
            <v>4792</v>
          </cell>
          <cell r="C2016" t="str">
            <v>POZZO TERESIO E CASTAGNINI PIETRO S.A.S.</v>
          </cell>
          <cell r="D2016" t="str">
            <v>10239930018 10239930018</v>
          </cell>
          <cell r="E2016" t="str">
            <v>VIA TORINO, 72</v>
          </cell>
          <cell r="F2016">
            <v>10034</v>
          </cell>
          <cell r="G2016" t="str">
            <v>CHIVASSO</v>
          </cell>
          <cell r="H2016" t="str">
            <v>TO</v>
          </cell>
          <cell r="I2016" t="str">
            <v>ITALIA</v>
          </cell>
          <cell r="J2016" t="str">
            <v>011-9101225</v>
          </cell>
        </row>
        <row r="2017">
          <cell r="B2017">
            <v>6584</v>
          </cell>
          <cell r="C2017" t="str">
            <v>PREATONI ENRICO E  ATTILIO &amp; C. S.N.C.</v>
          </cell>
          <cell r="D2017" t="str">
            <v>01493400129</v>
          </cell>
          <cell r="E2017" t="str">
            <v>VIA MATTEOTTI, 25</v>
          </cell>
          <cell r="F2017">
            <v>21020</v>
          </cell>
          <cell r="G2017" t="str">
            <v>CASCIAGO</v>
          </cell>
          <cell r="H2017" t="str">
            <v>VA</v>
          </cell>
          <cell r="I2017" t="str">
            <v>ITALIA</v>
          </cell>
          <cell r="J2017" t="str">
            <v xml:space="preserve">02-20520232 </v>
          </cell>
        </row>
        <row r="2018">
          <cell r="B2018">
            <v>4934</v>
          </cell>
          <cell r="C2018" t="str">
            <v>PREMAR S.N.C.</v>
          </cell>
          <cell r="D2018" t="str">
            <v>10274730018 10274730018</v>
          </cell>
          <cell r="E2018" t="str">
            <v>STRADA PROVINCIALE,   222</v>
          </cell>
          <cell r="F2018">
            <v>10081</v>
          </cell>
          <cell r="G2018" t="str">
            <v>CASTELLAMONTE</v>
          </cell>
          <cell r="H2018" t="str">
            <v>TO</v>
          </cell>
          <cell r="I2018" t="str">
            <v>ITALIA</v>
          </cell>
          <cell r="J2018" t="str">
            <v xml:space="preserve">340-2754036 </v>
          </cell>
        </row>
        <row r="2019">
          <cell r="B2019">
            <v>7203</v>
          </cell>
          <cell r="C2019" t="str">
            <v>PRETI CLAUDIO</v>
          </cell>
          <cell r="D2019" t="str">
            <v>PRTCLD57B16F198I</v>
          </cell>
          <cell r="E2019" t="str">
            <v>VIA GRAMSCI, 2</v>
          </cell>
          <cell r="F2019">
            <v>44035</v>
          </cell>
          <cell r="G2019" t="str">
            <v>FORMIGNANA</v>
          </cell>
          <cell r="H2019" t="str">
            <v>FE</v>
          </cell>
          <cell r="I2019" t="str">
            <v>ITALIA</v>
          </cell>
          <cell r="J2019" t="str">
            <v>347-6905653</v>
          </cell>
        </row>
        <row r="2020">
          <cell r="B2020">
            <v>7284</v>
          </cell>
          <cell r="C2020" t="str">
            <v>PREVITE SIMONA</v>
          </cell>
          <cell r="D2020" t="str">
            <v>PRVSMN79E67F158 K</v>
          </cell>
          <cell r="E2020" t="str">
            <v>VIA SALVO D'ACQUISTO  4 INT. 32</v>
          </cell>
          <cell r="F2020">
            <v>40068</v>
          </cell>
          <cell r="G2020" t="str">
            <v>SAN LAZZARO  DI SAVENA</v>
          </cell>
          <cell r="H2020" t="str">
            <v>BO</v>
          </cell>
          <cell r="I2020" t="str">
            <v>ITALIA</v>
          </cell>
          <cell r="J2020" t="str">
            <v>349-0873745</v>
          </cell>
        </row>
        <row r="2021">
          <cell r="B2021">
            <v>7228</v>
          </cell>
          <cell r="C2021" t="str">
            <v>PRIANTI MARCO</v>
          </cell>
          <cell r="D2021" t="str">
            <v>PRNMRC63M16G912 R</v>
          </cell>
          <cell r="E2021" t="str">
            <v>VIA S. PERTINI, 3</v>
          </cell>
          <cell r="F2021">
            <v>57037</v>
          </cell>
          <cell r="G2021" t="str">
            <v>PORTOFERRAIO</v>
          </cell>
          <cell r="H2021" t="str">
            <v>LI</v>
          </cell>
          <cell r="I2021" t="str">
            <v>ITALIA</v>
          </cell>
          <cell r="J2021" t="str">
            <v>333-4625678</v>
          </cell>
        </row>
        <row r="2022">
          <cell r="B2022">
            <v>1950</v>
          </cell>
          <cell r="C2022" t="str">
            <v>PRIVITERA ROSARIO</v>
          </cell>
          <cell r="D2022" t="str">
            <v>02797630122 PRVRSR58E08A841 S</v>
          </cell>
          <cell r="E2022" t="str">
            <v>VIA G. GIUSTI, 44/B</v>
          </cell>
          <cell r="F2022">
            <v>21053</v>
          </cell>
          <cell r="G2022" t="str">
            <v>CASTELLANZA</v>
          </cell>
          <cell r="H2022" t="str">
            <v>VA</v>
          </cell>
          <cell r="I2022" t="str">
            <v>ITALIA</v>
          </cell>
          <cell r="J2022" t="str">
            <v>0331-500290</v>
          </cell>
        </row>
        <row r="2023">
          <cell r="B2023">
            <v>2823</v>
          </cell>
          <cell r="C2023" t="str">
            <v>PROBIN S.N.C.</v>
          </cell>
          <cell r="D2023" t="str">
            <v>09554270018 09554270018</v>
          </cell>
          <cell r="E2023" t="str">
            <v>VIALE GARIMONDA, 14</v>
          </cell>
          <cell r="F2023">
            <v>10090</v>
          </cell>
          <cell r="G2023" t="str">
            <v>S. GIUSTO  CANAVESE</v>
          </cell>
          <cell r="H2023" t="str">
            <v>TO</v>
          </cell>
          <cell r="I2023" t="str">
            <v>ITALIA</v>
          </cell>
          <cell r="J2023" t="str">
            <v>339-5341992</v>
          </cell>
        </row>
        <row r="2024">
          <cell r="B2024">
            <v>9831</v>
          </cell>
          <cell r="C2024" t="str">
            <v>PRODOS S.R.L.</v>
          </cell>
          <cell r="D2024"/>
          <cell r="E2024" t="str">
            <v>VIA SAN MARCO,38</v>
          </cell>
          <cell r="F2024"/>
          <cell r="G2024" t="str">
            <v>SESTO SAN GIOVANNI</v>
          </cell>
          <cell r="H2024" t="str">
            <v>MI</v>
          </cell>
          <cell r="I2024" t="str">
            <v>ITALIA</v>
          </cell>
          <cell r="J2024" t="str">
            <v>02-23934088</v>
          </cell>
        </row>
        <row r="2025">
          <cell r="B2025">
            <v>6495</v>
          </cell>
          <cell r="C2025" t="str">
            <v>PRODOTTI LOCALI  DA LEANDRO DI  PICCOLI NICOLA</v>
          </cell>
          <cell r="D2025" t="str">
            <v>01253710113</v>
          </cell>
          <cell r="E2025" t="str">
            <v>VIA FIASCHERINO, 27</v>
          </cell>
          <cell r="F2025">
            <v>19032</v>
          </cell>
          <cell r="G2025" t="str">
            <v>LOC. TELLARO  LERICI</v>
          </cell>
          <cell r="H2025" t="str">
            <v>SP</v>
          </cell>
          <cell r="I2025" t="str">
            <v>ITALIA</v>
          </cell>
          <cell r="J2025" t="str">
            <v>0187-967653</v>
          </cell>
        </row>
        <row r="2026">
          <cell r="B2026">
            <v>5042</v>
          </cell>
          <cell r="C2026" t="str">
            <v>PROFESSIONAL ART  S.r.l.</v>
          </cell>
          <cell r="D2026" t="str">
            <v>05318670014 05318670014</v>
          </cell>
          <cell r="E2026" t="str">
            <v>VIA GERMANASCA, 4/A</v>
          </cell>
          <cell r="F2026">
            <v>10138</v>
          </cell>
          <cell r="G2026" t="str">
            <v>TORINO</v>
          </cell>
          <cell r="H2026" t="str">
            <v>TO</v>
          </cell>
          <cell r="I2026" t="str">
            <v>ITALIA</v>
          </cell>
          <cell r="J2026" t="str">
            <v>011-4331456</v>
          </cell>
        </row>
        <row r="2027">
          <cell r="B2027">
            <v>7102</v>
          </cell>
          <cell r="C2027" t="str">
            <v>PROFUMI ZUMA SRL</v>
          </cell>
          <cell r="D2027" t="str">
            <v>05355500827 05355500827</v>
          </cell>
          <cell r="E2027" t="str">
            <v>VIA SALVATORE DAVI' 52</v>
          </cell>
          <cell r="F2027">
            <v>90030</v>
          </cell>
          <cell r="G2027" t="str">
            <v>ALTOFONTE</v>
          </cell>
          <cell r="H2027" t="str">
            <v>PA</v>
          </cell>
          <cell r="I2027" t="str">
            <v>ITALIA</v>
          </cell>
          <cell r="J2027" t="str">
            <v>339-5995116</v>
          </cell>
        </row>
        <row r="2028">
          <cell r="B2028">
            <v>4777</v>
          </cell>
          <cell r="C2028" t="str">
            <v>PROFUMO DI CAFFE'  DI IODICE LISA</v>
          </cell>
          <cell r="D2028" t="str">
            <v>03598340135 DCILSI93M58C933 C</v>
          </cell>
          <cell r="E2028" t="str">
            <v>VIA INTERLEGNO, 35</v>
          </cell>
          <cell r="F2028">
            <v>22100</v>
          </cell>
          <cell r="G2028" t="str">
            <v>COMO</v>
          </cell>
          <cell r="H2028" t="str">
            <v>CO</v>
          </cell>
          <cell r="I2028" t="str">
            <v>ITALIA</v>
          </cell>
          <cell r="J2028" t="str">
            <v>349-1721898</v>
          </cell>
        </row>
        <row r="2029">
          <cell r="B2029">
            <v>4185</v>
          </cell>
          <cell r="C2029" t="str">
            <v>PROLOCO  POGLIANO MILANESE</v>
          </cell>
          <cell r="D2029" t="str">
            <v>07065990967 07065990967</v>
          </cell>
          <cell r="E2029" t="str">
            <v>VIA DANTE,  5</v>
          </cell>
          <cell r="F2029">
            <v>20010</v>
          </cell>
          <cell r="G2029" t="str">
            <v>POGLIANO  MILANESE</v>
          </cell>
          <cell r="H2029" t="str">
            <v>MI</v>
          </cell>
          <cell r="I2029" t="str">
            <v>ITALIA</v>
          </cell>
          <cell r="J2029" t="str">
            <v>02-9342866</v>
          </cell>
        </row>
        <row r="2030">
          <cell r="B2030">
            <v>2518</v>
          </cell>
          <cell r="C2030" t="str">
            <v>PROMOGRAFICA S.N. C. DI R. ALBERTONI</v>
          </cell>
          <cell r="D2030" t="str">
            <v>03748230152 03748230152</v>
          </cell>
          <cell r="E2030" t="str">
            <v>VIA MAGRETTI, 11</v>
          </cell>
          <cell r="F2030">
            <v>20037</v>
          </cell>
          <cell r="G2030" t="str">
            <v>PADERNO  DUGNANO</v>
          </cell>
          <cell r="H2030" t="str">
            <v>MI</v>
          </cell>
          <cell r="I2030" t="str">
            <v>ITALIA</v>
          </cell>
          <cell r="J2030" t="str">
            <v xml:space="preserve">02-92272150 </v>
          </cell>
        </row>
        <row r="2031">
          <cell r="B2031">
            <v>2505</v>
          </cell>
          <cell r="C2031" t="str">
            <v>PROMOSERV S.N.C.</v>
          </cell>
          <cell r="D2031" t="str">
            <v>02029940026 02029940026</v>
          </cell>
          <cell r="E2031" t="str">
            <v>VIA FIGINO, 46/N</v>
          </cell>
          <cell r="F2031">
            <v>20016</v>
          </cell>
          <cell r="G2031" t="str">
            <v>PERO</v>
          </cell>
          <cell r="H2031" t="str">
            <v>MI</v>
          </cell>
          <cell r="I2031" t="str">
            <v>ITALIA</v>
          </cell>
          <cell r="J2031" t="str">
            <v>02-33912174</v>
          </cell>
        </row>
        <row r="2032">
          <cell r="B2032">
            <v>6388</v>
          </cell>
          <cell r="C2032" t="str">
            <v>PRONTO CAFFE  SERVICE DI  NICOLETTA CIOCIA</v>
          </cell>
          <cell r="D2032" t="str">
            <v>07413430013 CCINLT78B59L219V</v>
          </cell>
          <cell r="E2032" t="str">
            <v>CORSO FILIPPO TURATI,  25/7</v>
          </cell>
          <cell r="F2032">
            <v>10128</v>
          </cell>
          <cell r="G2032" t="str">
            <v>TORINO</v>
          </cell>
          <cell r="H2032" t="str">
            <v>TO</v>
          </cell>
          <cell r="I2032" t="str">
            <v>ITALIA</v>
          </cell>
          <cell r="J2032" t="str">
            <v xml:space="preserve">011-6690174 </v>
          </cell>
        </row>
        <row r="2033">
          <cell r="B2033">
            <v>4802</v>
          </cell>
          <cell r="C2033" t="str">
            <v>PROVVEDITORIA MARITTIMA LIGURE S.R.L.</v>
          </cell>
          <cell r="D2033" t="str">
            <v>00091180109 00091180109</v>
          </cell>
          <cell r="E2033" t="str">
            <v>VIA DE MARINI, 60</v>
          </cell>
          <cell r="F2033">
            <v>16149</v>
          </cell>
          <cell r="G2033" t="str">
            <v>GENOVA</v>
          </cell>
          <cell r="H2033" t="str">
            <v>GE</v>
          </cell>
          <cell r="I2033" t="str">
            <v>ITALIA</v>
          </cell>
          <cell r="J2033" t="str">
            <v>010-267743</v>
          </cell>
        </row>
        <row r="2034">
          <cell r="B2034">
            <v>4775</v>
          </cell>
          <cell r="C2034" t="str">
            <v>P-TOWN CENTER DI  PEDOZZI SIMONE</v>
          </cell>
          <cell r="D2034" t="str">
            <v>08875400965 PDZSMN87R29F205 C</v>
          </cell>
          <cell r="E2034" t="str">
            <v>VIA ROMA, 24</v>
          </cell>
          <cell r="F2034">
            <v>20096</v>
          </cell>
          <cell r="G2034" t="str">
            <v>PIOLTELLO</v>
          </cell>
          <cell r="H2034" t="str">
            <v>MI</v>
          </cell>
          <cell r="I2034" t="str">
            <v>ITALIA</v>
          </cell>
          <cell r="J2034" t="str">
            <v>02-92104559</v>
          </cell>
        </row>
        <row r="2035">
          <cell r="B2035">
            <v>5759</v>
          </cell>
          <cell r="C2035" t="str">
            <v>PUBBLICA  ASSISTENZA  CROCE BIANCA - ASTI -</v>
          </cell>
          <cell r="D2035" t="str">
            <v>92018280054</v>
          </cell>
          <cell r="E2035" t="str">
            <v>CORSO ALFIERI, 37</v>
          </cell>
          <cell r="F2035">
            <v>14100</v>
          </cell>
          <cell r="G2035" t="str">
            <v>ASTI</v>
          </cell>
          <cell r="H2035" t="str">
            <v>AT</v>
          </cell>
          <cell r="I2035" t="str">
            <v>ITALIA</v>
          </cell>
          <cell r="J2035" t="str">
            <v>0141-599777</v>
          </cell>
        </row>
        <row r="2036">
          <cell r="B2036">
            <v>4252</v>
          </cell>
          <cell r="C2036" t="str">
            <v>PUL SERVICE S.R.L.</v>
          </cell>
          <cell r="D2036" t="str">
            <v>10575210017 10575210017</v>
          </cell>
          <cell r="E2036" t="str">
            <v>VIALE GIOTTO, 47</v>
          </cell>
          <cell r="F2036">
            <v>47042</v>
          </cell>
          <cell r="G2036" t="str">
            <v>CESENATICO</v>
          </cell>
          <cell r="H2036" t="str">
            <v>FC</v>
          </cell>
          <cell r="I2036" t="str">
            <v>ITALIA</v>
          </cell>
          <cell r="J2036" t="str">
            <v>366-1957534</v>
          </cell>
        </row>
        <row r="2037">
          <cell r="B2037">
            <v>5325</v>
          </cell>
          <cell r="C2037" t="str">
            <v>PUNTO BREAK S.R.L.</v>
          </cell>
          <cell r="D2037" t="str">
            <v>08074210017 08074210017</v>
          </cell>
          <cell r="E2037" t="str">
            <v>VIA AMENDOLA SNC</v>
          </cell>
          <cell r="F2037">
            <v>10040</v>
          </cell>
          <cell r="G2037" t="str">
            <v>LA LOGGIA</v>
          </cell>
          <cell r="H2037" t="str">
            <v>TO</v>
          </cell>
          <cell r="I2037" t="str">
            <v>ITALIA</v>
          </cell>
          <cell r="J2037" t="str">
            <v xml:space="preserve">011-7716364 </v>
          </cell>
        </row>
        <row r="2038">
          <cell r="B2038">
            <v>6018</v>
          </cell>
          <cell r="C2038" t="str">
            <v>PUNTO CAFFE' DI  STARNONE  PASQUALE</v>
          </cell>
          <cell r="D2038" t="str">
            <v>07663620016 STRPQL66A22F158Z</v>
          </cell>
          <cell r="E2038" t="str">
            <v>VIA GENERAL CANTORE,  94</v>
          </cell>
          <cell r="F2038">
            <v>10095</v>
          </cell>
          <cell r="G2038" t="str">
            <v>GRUGLIASCO</v>
          </cell>
          <cell r="H2038" t="str">
            <v>TO</v>
          </cell>
          <cell r="I2038" t="str">
            <v>ITALIA</v>
          </cell>
          <cell r="J2038" t="str">
            <v xml:space="preserve">011-788568 </v>
          </cell>
        </row>
        <row r="2039">
          <cell r="B2039">
            <v>3133</v>
          </cell>
          <cell r="C2039" t="str">
            <v>PUNTO EQUO  SOCIETA'  COOPERATIVA</v>
          </cell>
          <cell r="D2039" t="str">
            <v>05648680964 05648680964</v>
          </cell>
          <cell r="E2039" t="str">
            <v>VIA FRANCESCO  CARACCIOLO, 74</v>
          </cell>
          <cell r="F2039">
            <v>20155</v>
          </cell>
          <cell r="G2039" t="str">
            <v>MILANO</v>
          </cell>
          <cell r="H2039" t="str">
            <v>MI</v>
          </cell>
          <cell r="I2039" t="str">
            <v>ITALIA</v>
          </cell>
          <cell r="J2039" t="str">
            <v>340-2855826</v>
          </cell>
        </row>
        <row r="2040">
          <cell r="B2040">
            <v>7013</v>
          </cell>
          <cell r="C2040" t="str">
            <v>PURPURA DAVIDE</v>
          </cell>
          <cell r="D2040" t="str">
            <v>PRPDVD80C03F205 P</v>
          </cell>
          <cell r="E2040" t="str">
            <v>VIA SAN FIORANO, 62</v>
          </cell>
          <cell r="F2040">
            <v>20852</v>
          </cell>
          <cell r="G2040" t="str">
            <v>VILLASANTA</v>
          </cell>
          <cell r="H2040" t="str">
            <v>MB</v>
          </cell>
          <cell r="I2040" t="str">
            <v>ITALIA</v>
          </cell>
          <cell r="J2040" t="str">
            <v>349-6098908</v>
          </cell>
        </row>
        <row r="2041">
          <cell r="B2041">
            <v>6499</v>
          </cell>
          <cell r="C2041" t="str">
            <v>Q6 SERVIZI S.R.L.</v>
          </cell>
          <cell r="D2041" t="str">
            <v>01627460056 01627460056</v>
          </cell>
          <cell r="E2041" t="str">
            <v>VIA INDUSTRIA, 29</v>
          </cell>
          <cell r="F2041">
            <v>14015</v>
          </cell>
          <cell r="G2041" t="str">
            <v>SAN DAMIANO D' ASTI</v>
          </cell>
          <cell r="H2041" t="str">
            <v>AT</v>
          </cell>
          <cell r="I2041" t="str">
            <v>ITALIA</v>
          </cell>
          <cell r="J2041" t="str">
            <v xml:space="preserve">0141-982797 </v>
          </cell>
        </row>
        <row r="2042">
          <cell r="B2042">
            <v>6524</v>
          </cell>
          <cell r="C2042" t="str">
            <v>QBM VENDING- LLC</v>
          </cell>
          <cell r="D2042" t="str">
            <v>11697590013 11697590013</v>
          </cell>
          <cell r="E2042" t="str">
            <v>STR. COMUNALE DEL  VILLARETTO, 207/5</v>
          </cell>
          <cell r="F2042">
            <v>10156</v>
          </cell>
          <cell r="G2042" t="str">
            <v>TORINO</v>
          </cell>
          <cell r="H2042" t="str">
            <v>TO</v>
          </cell>
          <cell r="I2042" t="str">
            <v>ITALIA</v>
          </cell>
          <cell r="J2042" t="str">
            <v>348-7432761</v>
          </cell>
        </row>
        <row r="2043">
          <cell r="B2043">
            <v>6757</v>
          </cell>
          <cell r="C2043" t="str">
            <v>QBM VENDING SRLS</v>
          </cell>
          <cell r="D2043" t="str">
            <v>11910840013 11910840013</v>
          </cell>
          <cell r="E2043" t="str">
            <v>STR. COMUNALE DEL  VILLARETTO, 207/5</v>
          </cell>
          <cell r="F2043">
            <v>10156</v>
          </cell>
          <cell r="G2043" t="str">
            <v>TORINO</v>
          </cell>
          <cell r="H2043" t="str">
            <v>TO</v>
          </cell>
          <cell r="I2043" t="str">
            <v>ITALIA</v>
          </cell>
          <cell r="J2043" t="str">
            <v>011-2621522</v>
          </cell>
        </row>
        <row r="2044">
          <cell r="B2044">
            <v>1832</v>
          </cell>
          <cell r="C2044" t="str">
            <v>QI SERVICE S.R.L.</v>
          </cell>
          <cell r="D2044" t="str">
            <v>04081320964 04081320964</v>
          </cell>
          <cell r="E2044" t="str">
            <v>VIA LAVORATORI  AUTOBIANCHI, 1 (INT. 12  I-L)</v>
          </cell>
          <cell r="F2044">
            <v>20033</v>
          </cell>
          <cell r="G2044" t="str">
            <v>DESIO</v>
          </cell>
          <cell r="H2044" t="str">
            <v>MI</v>
          </cell>
          <cell r="I2044" t="str">
            <v>ITALIA</v>
          </cell>
          <cell r="J2044" t="str">
            <v>0362-331558</v>
          </cell>
        </row>
        <row r="2045">
          <cell r="B2045">
            <v>10384</v>
          </cell>
          <cell r="C2045" t="str">
            <v>QUAINI ARIANNA AGNESE</v>
          </cell>
          <cell r="E2045" t="str">
            <v>VIALE LIBERTA' 18/D</v>
          </cell>
          <cell r="F2045">
            <v>21015</v>
          </cell>
          <cell r="G2045" t="str">
            <v>LONATE POZZOLO</v>
          </cell>
          <cell r="H2045" t="str">
            <v>VA</v>
          </cell>
          <cell r="I2045" t="str">
            <v>ITALIA</v>
          </cell>
          <cell r="J2045" t="str">
            <v>347-6083874</v>
          </cell>
        </row>
        <row r="2046">
          <cell r="B2046">
            <v>7082</v>
          </cell>
          <cell r="C2046" t="str">
            <v>QUALITA' S.R.L.</v>
          </cell>
          <cell r="D2046" t="str">
            <v>11202050966</v>
          </cell>
          <cell r="E2046" t="str">
            <v>VIA SILVIO PELLICO, 19</v>
          </cell>
          <cell r="F2046">
            <v>20872</v>
          </cell>
          <cell r="G2046" t="str">
            <v>CORNATE D' ADDA</v>
          </cell>
          <cell r="H2046" t="str">
            <v>MB</v>
          </cell>
          <cell r="I2046" t="str">
            <v>ITALIA</v>
          </cell>
          <cell r="J2046" t="str">
            <v>333-3997108</v>
          </cell>
        </row>
        <row r="2047">
          <cell r="B2047">
            <v>6887</v>
          </cell>
          <cell r="C2047" t="str">
            <v>QUARESIMIN  FLAVIO E DALLA  TORRE ANGELINA S. N.C.</v>
          </cell>
          <cell r="D2047" t="str">
            <v>00740680269 00740680269</v>
          </cell>
          <cell r="E2047" t="str">
            <v>VIA POUSSIN, 8</v>
          </cell>
          <cell r="F2047">
            <v>31033</v>
          </cell>
          <cell r="G2047" t="str">
            <v>CASTELFRANCO  VENETO</v>
          </cell>
          <cell r="H2047" t="str">
            <v>TV</v>
          </cell>
          <cell r="I2047" t="str">
            <v>ITALIA</v>
          </cell>
          <cell r="J2047" t="str">
            <v>0423-492804</v>
          </cell>
        </row>
        <row r="2048">
          <cell r="B2048">
            <v>4478</v>
          </cell>
          <cell r="C2048" t="str">
            <v>QUICK BREAK S.R.L.</v>
          </cell>
          <cell r="D2048" t="str">
            <v>08491950963 08491950963</v>
          </cell>
          <cell r="E2048" t="str">
            <v>VIA DON RIVA, 38/B</v>
          </cell>
          <cell r="F2048">
            <v>20028</v>
          </cell>
          <cell r="G2048" t="str">
            <v>SAN VITTORE  OLONA</v>
          </cell>
          <cell r="H2048" t="str">
            <v>MI</v>
          </cell>
          <cell r="I2048" t="str">
            <v>ITALIA</v>
          </cell>
          <cell r="J2048" t="str">
            <v>393-6930325</v>
          </cell>
        </row>
        <row r="2049">
          <cell r="B2049">
            <v>1385</v>
          </cell>
          <cell r="C2049" t="str">
            <v>QUICK SERVICE S.A. S. DI CIVIERO</v>
          </cell>
          <cell r="D2049" t="str">
            <v>10883410150 10883410150</v>
          </cell>
          <cell r="E2049" t="str">
            <v>VIA E. MATTEI, 50</v>
          </cell>
          <cell r="F2049">
            <v>20097</v>
          </cell>
          <cell r="G2049" t="str">
            <v>SAN DONATO  MILANESE</v>
          </cell>
          <cell r="H2049" t="str">
            <v>MI</v>
          </cell>
          <cell r="I2049" t="str">
            <v>ITALIA</v>
          </cell>
          <cell r="J2049" t="str">
            <v>02-5275643</v>
          </cell>
        </row>
        <row r="2050">
          <cell r="B2050">
            <v>4952</v>
          </cell>
          <cell r="C2050" t="str">
            <v>QUICKAFFE' S.N.C.</v>
          </cell>
          <cell r="D2050" t="str">
            <v>01599190087 01599190087</v>
          </cell>
          <cell r="E2050" t="str">
            <v>VIA STAZIONE, 4</v>
          </cell>
          <cell r="F2050">
            <v>18018</v>
          </cell>
          <cell r="G2050" t="str">
            <v>ARMA DI TAGGIA</v>
          </cell>
          <cell r="H2050" t="str">
            <v>IM</v>
          </cell>
          <cell r="I2050" t="str">
            <v>ITALIA</v>
          </cell>
          <cell r="J2050" t="str">
            <v>333-4882329</v>
          </cell>
        </row>
        <row r="2051">
          <cell r="B2051">
            <v>7056</v>
          </cell>
          <cell r="C2051" t="str">
            <v>QUICKVENDING S.A. S.</v>
          </cell>
          <cell r="D2051" t="str">
            <v>01716420086 01716420086</v>
          </cell>
          <cell r="E2051" t="str">
            <v>VIA AURELIA, 59/A</v>
          </cell>
          <cell r="F2051">
            <v>18015</v>
          </cell>
          <cell r="G2051" t="str">
            <v>RIVA LIGURE</v>
          </cell>
          <cell r="H2051" t="str">
            <v>IM</v>
          </cell>
          <cell r="I2051" t="str">
            <v>ITALIA</v>
          </cell>
          <cell r="J2051" t="str">
            <v>333-4882329</v>
          </cell>
        </row>
        <row r="2052">
          <cell r="B2052">
            <v>4836</v>
          </cell>
          <cell r="C2052" t="str">
            <v>QUIKOFFI S.R.L.</v>
          </cell>
          <cell r="D2052" t="str">
            <v>03599130360 03599130360</v>
          </cell>
          <cell r="E2052" t="str">
            <v>VIA FANTI, 1</v>
          </cell>
          <cell r="F2052">
            <v>41049</v>
          </cell>
          <cell r="G2052" t="str">
            <v>SASSUOLO</v>
          </cell>
          <cell r="H2052" t="str">
            <v>MO</v>
          </cell>
          <cell r="I2052" t="str">
            <v>ITALIA</v>
          </cell>
          <cell r="J2052" t="str">
            <v>0536-401304</v>
          </cell>
        </row>
        <row r="2053">
          <cell r="B2053">
            <v>7385</v>
          </cell>
          <cell r="C2053" t="str">
            <v>QUO VADIS  NETWORK DI RUBEN  TERLIZZI</v>
          </cell>
          <cell r="D2053" t="str">
            <v>04110690718</v>
          </cell>
          <cell r="E2053" t="str">
            <v>VIA M. SS. AUSILIATRICE, 8</v>
          </cell>
          <cell r="F2053">
            <v>71042</v>
          </cell>
          <cell r="G2053" t="str">
            <v>CERIGNOLA</v>
          </cell>
          <cell r="H2053" t="str">
            <v>FG</v>
          </cell>
          <cell r="I2053" t="str">
            <v>ITALIA</v>
          </cell>
          <cell r="J2053" t="str">
            <v>329-2731940</v>
          </cell>
        </row>
        <row r="2054">
          <cell r="B2054">
            <v>6729</v>
          </cell>
          <cell r="C2054" t="str">
            <v>R.C. DI  CALABRO ROBERTO</v>
          </cell>
          <cell r="D2054" t="str">
            <v>08123720966</v>
          </cell>
          <cell r="E2054" t="str">
            <v>VIA SALVATORE PIANELL,  32</v>
          </cell>
          <cell r="F2054">
            <v>20125</v>
          </cell>
          <cell r="G2054" t="str">
            <v>MILANO</v>
          </cell>
          <cell r="H2054" t="str">
            <v>MI</v>
          </cell>
          <cell r="I2054" t="str">
            <v>ITALIA</v>
          </cell>
          <cell r="J2054" t="str">
            <v>339-1376541</v>
          </cell>
        </row>
        <row r="2055">
          <cell r="B2055">
            <v>4205</v>
          </cell>
          <cell r="C2055" t="str">
            <v>R.D.A DI PANCRAZI  FRANCESCO</v>
          </cell>
          <cell r="D2055" t="str">
            <v>02053070500</v>
          </cell>
          <cell r="E2055" t="str">
            <v>VIA G. DI VITTORIO, 3/A</v>
          </cell>
          <cell r="F2055">
            <v>56017</v>
          </cell>
          <cell r="G2055" t="str">
            <v>SAN GIULIANO  TERME</v>
          </cell>
          <cell r="H2055" t="str">
            <v>PI</v>
          </cell>
          <cell r="I2055" t="str">
            <v>ITALIA</v>
          </cell>
          <cell r="J2055" t="str">
            <v>340-8392866</v>
          </cell>
        </row>
        <row r="2056">
          <cell r="B2056">
            <v>2452</v>
          </cell>
          <cell r="C2056" t="str">
            <v>R.D.A. S.R.L.</v>
          </cell>
          <cell r="D2056" t="str">
            <v>11353620153 11353620153</v>
          </cell>
          <cell r="E2056" t="str">
            <v>VIA ALDO MORO, 14</v>
          </cell>
          <cell r="F2056">
            <v>20081</v>
          </cell>
          <cell r="G2056" t="str">
            <v>MORIMONDO</v>
          </cell>
          <cell r="H2056" t="str">
            <v>MI</v>
          </cell>
          <cell r="I2056" t="str">
            <v>ITALIA</v>
          </cell>
          <cell r="J2056" t="str">
            <v>02-945435</v>
          </cell>
        </row>
        <row r="2057">
          <cell r="B2057">
            <v>7195</v>
          </cell>
          <cell r="C2057" t="str">
            <v>R.D.G. INDUSTRIAL  CONSULTING S.R.L.S</v>
          </cell>
          <cell r="D2057" t="str">
            <v>11647450011 11647450011</v>
          </cell>
          <cell r="E2057" t="str">
            <v>VIA MAGELLANO, 43</v>
          </cell>
          <cell r="F2057">
            <v>10090</v>
          </cell>
          <cell r="G2057" t="str">
            <v>BRUINO</v>
          </cell>
          <cell r="H2057" t="str">
            <v>TO</v>
          </cell>
          <cell r="I2057" t="str">
            <v>ITALIA</v>
          </cell>
          <cell r="J2057" t="str">
            <v>320-8848413</v>
          </cell>
        </row>
        <row r="2058">
          <cell r="B2058">
            <v>10027</v>
          </cell>
          <cell r="C2058" t="str">
            <v>R.R. VENDING S.R.L.</v>
          </cell>
          <cell r="E2058" t="str">
            <v>VIA VINCENZO MONTI, 13</v>
          </cell>
          <cell r="F2058">
            <v>42122</v>
          </cell>
          <cell r="G2058" t="str">
            <v>REGGIO EMILIA</v>
          </cell>
          <cell r="H2058" t="str">
            <v>RE</v>
          </cell>
          <cell r="I2058" t="str">
            <v>ITALIA</v>
          </cell>
        </row>
        <row r="2059">
          <cell r="B2059">
            <v>3995</v>
          </cell>
          <cell r="C2059" t="str">
            <v>RA.RO S.N.C DI  UGGIONI R. E  COSTINI R.</v>
          </cell>
          <cell r="D2059" t="str">
            <v>01938910997 01938910997</v>
          </cell>
          <cell r="E2059" t="str">
            <v>VIA P. PASTORINO, 73 R</v>
          </cell>
          <cell r="F2059">
            <v>16162</v>
          </cell>
          <cell r="G2059" t="str">
            <v>GENOVA  BOLZANETO</v>
          </cell>
          <cell r="H2059" t="str">
            <v>GE</v>
          </cell>
          <cell r="I2059" t="str">
            <v>ITALIA</v>
          </cell>
          <cell r="J2059" t="str">
            <v>339-8550542</v>
          </cell>
        </row>
        <row r="2060">
          <cell r="B2060">
            <v>4715</v>
          </cell>
          <cell r="C2060" t="str">
            <v>RACIOPPI VETRERIA  S.N.C.</v>
          </cell>
          <cell r="D2060" t="str">
            <v>10487730011 10487730011</v>
          </cell>
          <cell r="E2060" t="str">
            <v>STRADA FORNACINO, 58</v>
          </cell>
          <cell r="F2060">
            <v>10040</v>
          </cell>
          <cell r="G2060" t="str">
            <v>LEINI</v>
          </cell>
          <cell r="H2060" t="str">
            <v>TO</v>
          </cell>
          <cell r="I2060" t="str">
            <v>ITALIA</v>
          </cell>
          <cell r="J2060" t="str">
            <v xml:space="preserve">011-9988394 </v>
          </cell>
        </row>
        <row r="2061">
          <cell r="B2061">
            <v>6713</v>
          </cell>
          <cell r="C2061" t="str">
            <v>RADICE DI RADICE  LUISA</v>
          </cell>
          <cell r="D2061" t="str">
            <v>06397030963</v>
          </cell>
          <cell r="E2061" t="str">
            <v>VIA S.MASSIMO, 38</v>
          </cell>
          <cell r="F2061">
            <v>20018</v>
          </cell>
          <cell r="G2061" t="str">
            <v>SEDRIANO</v>
          </cell>
          <cell r="H2061" t="str">
            <v>MI</v>
          </cell>
          <cell r="I2061" t="str">
            <v>ITALIA</v>
          </cell>
          <cell r="J2061" t="str">
            <v>02-9020849</v>
          </cell>
        </row>
        <row r="2062">
          <cell r="B2062">
            <v>4927</v>
          </cell>
          <cell r="C2062" t="str">
            <v>RAGNO NERO DI DE  MAJO DANILO</v>
          </cell>
          <cell r="D2062" t="str">
            <v>09084830968 DMEDNL69S28F205 M</v>
          </cell>
          <cell r="E2062" t="str">
            <v>VIA LEONARDO DA VINCI, 66</v>
          </cell>
          <cell r="F2062">
            <v>20092</v>
          </cell>
          <cell r="G2062" t="str">
            <v>CINISELLO  BALSAMO</v>
          </cell>
          <cell r="H2062" t="str">
            <v>MI</v>
          </cell>
          <cell r="I2062" t="str">
            <v>ITALIA</v>
          </cell>
          <cell r="J2062" t="str">
            <v>349-0597704</v>
          </cell>
        </row>
        <row r="2063">
          <cell r="B2063">
            <v>7023</v>
          </cell>
          <cell r="C2063" t="str">
            <v>RAHO ALESSANDRO</v>
          </cell>
          <cell r="D2063" t="str">
            <v>RHALSN80D24D761 L</v>
          </cell>
          <cell r="E2063" t="str">
            <v>VIA TOSELLI, 12</v>
          </cell>
          <cell r="F2063">
            <v>74028</v>
          </cell>
          <cell r="G2063" t="str">
            <v>SAVA</v>
          </cell>
          <cell r="H2063" t="str">
            <v>TA</v>
          </cell>
          <cell r="I2063" t="str">
            <v>ITALIA</v>
          </cell>
          <cell r="J2063" t="str">
            <v>349-3901443</v>
          </cell>
        </row>
        <row r="2064">
          <cell r="B2064">
            <v>6720</v>
          </cell>
          <cell r="C2064" t="str">
            <v>RAI SERVICE DI  RAIMONDI ROBERTO</v>
          </cell>
          <cell r="D2064" t="str">
            <v>02651420982 RMNRRT85T12C618 J</v>
          </cell>
          <cell r="E2064" t="str">
            <v>VIA PALAZZOLO, 146</v>
          </cell>
          <cell r="F2064">
            <v>25031</v>
          </cell>
          <cell r="G2064" t="str">
            <v>CAPRIOLO</v>
          </cell>
          <cell r="H2064" t="str">
            <v>BS</v>
          </cell>
          <cell r="I2064" t="str">
            <v>ITALIA</v>
          </cell>
          <cell r="J2064" t="str">
            <v>334-3593152</v>
          </cell>
        </row>
        <row r="2065">
          <cell r="B2065">
            <v>7048</v>
          </cell>
          <cell r="C2065" t="str">
            <v>RAITERI MAURIZIO</v>
          </cell>
          <cell r="D2065" t="str">
            <v>RTRMRZ73A02B791 D</v>
          </cell>
          <cell r="E2065" t="str">
            <v>VIA MONTE FENERA, 11</v>
          </cell>
          <cell r="F2065">
            <v>13018</v>
          </cell>
          <cell r="G2065" t="str">
            <v>VALDUGGIA</v>
          </cell>
          <cell r="H2065" t="str">
            <v>VC</v>
          </cell>
          <cell r="I2065" t="str">
            <v>ITALIA</v>
          </cell>
          <cell r="J2065" t="str">
            <v>338-8148802</v>
          </cell>
        </row>
        <row r="2066">
          <cell r="B2066">
            <v>4517</v>
          </cell>
          <cell r="C2066" t="str">
            <v>RAMETTA EMANUELA</v>
          </cell>
          <cell r="D2066" t="str">
            <v>02189110998 RMTMNL86E55F965 S</v>
          </cell>
          <cell r="E2066" t="str">
            <v>VIA ISOCORTE, 7/INT. 6</v>
          </cell>
          <cell r="F2066">
            <v>16164</v>
          </cell>
          <cell r="G2066" t="str">
            <v>PONTEDECIMO</v>
          </cell>
          <cell r="H2066" t="str">
            <v>GE</v>
          </cell>
          <cell r="I2066" t="str">
            <v>ITALIA</v>
          </cell>
          <cell r="J2066" t="str">
            <v>347-5595812</v>
          </cell>
        </row>
        <row r="2067">
          <cell r="B2067">
            <v>4911</v>
          </cell>
          <cell r="C2067" t="str">
            <v>RANDY COFFEE DI  MAINA IVAN</v>
          </cell>
          <cell r="D2067" t="str">
            <v>02467210189 MNAVNI90H18G388 X</v>
          </cell>
          <cell r="E2067" t="str">
            <v>VIA BARSANTI, 49</v>
          </cell>
          <cell r="F2067">
            <v>27051</v>
          </cell>
          <cell r="G2067" t="str">
            <v>CAVA MANARA</v>
          </cell>
          <cell r="H2067" t="str">
            <v>PV</v>
          </cell>
          <cell r="I2067" t="str">
            <v>ITALIA</v>
          </cell>
          <cell r="J2067" t="str">
            <v>389-5841191</v>
          </cell>
        </row>
        <row r="2068">
          <cell r="B2068">
            <v>7617</v>
          </cell>
          <cell r="C2068" t="str">
            <v>RANDY COFFEE S.R.L.</v>
          </cell>
          <cell r="E2068" t="str">
            <v>VIA E.BARSANTI, 49</v>
          </cell>
          <cell r="F2068">
            <v>27051</v>
          </cell>
          <cell r="G2068" t="str">
            <v>CAVA MANARA</v>
          </cell>
          <cell r="H2068" t="str">
            <v>PV</v>
          </cell>
          <cell r="I2068" t="str">
            <v>ITALIA</v>
          </cell>
          <cell r="J2068" t="str">
            <v>0382-1852597</v>
          </cell>
        </row>
        <row r="2069">
          <cell r="B2069">
            <v>3780</v>
          </cell>
          <cell r="C2069" t="str">
            <v>RATATOUILLE S. N.C. DI GAETANO  MORGESE &amp; C.</v>
          </cell>
          <cell r="D2069" t="str">
            <v>07111970963 07111970963</v>
          </cell>
          <cell r="E2069" t="str">
            <v>VIA G. MORANDI,  4</v>
          </cell>
          <cell r="F2069">
            <v>20052</v>
          </cell>
          <cell r="G2069" t="str">
            <v>MONZA</v>
          </cell>
          <cell r="H2069" t="str">
            <v>MB</v>
          </cell>
          <cell r="I2069" t="str">
            <v>ITALIA</v>
          </cell>
          <cell r="J2069" t="str">
            <v>039-832198</v>
          </cell>
        </row>
        <row r="2070">
          <cell r="B2070">
            <v>4458</v>
          </cell>
          <cell r="C2070" t="str">
            <v>RAUGIA SIMONE</v>
          </cell>
          <cell r="D2070" t="str">
            <v>06038800485 RGASMN69L05G999 G</v>
          </cell>
          <cell r="E2070" t="str">
            <v>VIA G. DI VITTORIO, 46</v>
          </cell>
          <cell r="F2070">
            <v>59013</v>
          </cell>
          <cell r="G2070" t="str">
            <v>MONTEMURLO</v>
          </cell>
          <cell r="H2070" t="str">
            <v>PO</v>
          </cell>
          <cell r="I2070" t="str">
            <v>ITALIA</v>
          </cell>
          <cell r="J2070" t="str">
            <v>335-7430606</v>
          </cell>
        </row>
        <row r="2071">
          <cell r="B2071">
            <v>3389</v>
          </cell>
          <cell r="C2071" t="str">
            <v>RAVA FAUSTO</v>
          </cell>
          <cell r="D2071" t="str">
            <v>02232700068 RVAFST63M30L304 D</v>
          </cell>
          <cell r="E2071" t="str">
            <v>VIA XX SETTEMBRE, 42</v>
          </cell>
          <cell r="F2071">
            <v>15050</v>
          </cell>
          <cell r="G2071" t="str">
            <v>VILLALVERNIA</v>
          </cell>
          <cell r="H2071" t="str">
            <v>AL</v>
          </cell>
          <cell r="I2071" t="str">
            <v>ITALIA</v>
          </cell>
          <cell r="J2071" t="str">
            <v>348-8230268</v>
          </cell>
        </row>
        <row r="2072">
          <cell r="B2072">
            <v>7455</v>
          </cell>
          <cell r="C2072" t="str">
            <v>RAVELLI SARA</v>
          </cell>
          <cell r="D2072" t="str">
            <v>RVLSRA80T69D940 S</v>
          </cell>
          <cell r="E2072" t="str">
            <v>VIA TORRE 59</v>
          </cell>
          <cell r="F2072">
            <v>25050</v>
          </cell>
          <cell r="G2072" t="str">
            <v>PIAN CAMUNO</v>
          </cell>
          <cell r="H2072" t="str">
            <v>BS</v>
          </cell>
          <cell r="I2072" t="str">
            <v>ITALIA</v>
          </cell>
          <cell r="J2072" t="str">
            <v>346-9426987</v>
          </cell>
        </row>
        <row r="2073">
          <cell r="B2073">
            <v>7254</v>
          </cell>
          <cell r="C2073" t="str">
            <v>RAVENNI SIMONE</v>
          </cell>
          <cell r="D2073" t="str">
            <v>RVNSMN68H20D612 J</v>
          </cell>
          <cell r="E2073" t="str">
            <v>VIA SANDRO PERTINI 5</v>
          </cell>
          <cell r="F2073">
            <v>50012</v>
          </cell>
          <cell r="G2073" t="str">
            <v>BAGNO A RIPOLI</v>
          </cell>
          <cell r="H2073" t="str">
            <v>FI</v>
          </cell>
          <cell r="I2073" t="str">
            <v>ITALIA</v>
          </cell>
          <cell r="J2073" t="str">
            <v>347-9541340</v>
          </cell>
        </row>
        <row r="2074">
          <cell r="B2074">
            <v>1297</v>
          </cell>
          <cell r="C2074" t="str">
            <v>RBS S.R.L.</v>
          </cell>
          <cell r="D2074" t="str">
            <v>11386410150 11386410150</v>
          </cell>
          <cell r="E2074" t="str">
            <v>VIA DELL' ARTIGIANATO,  23</v>
          </cell>
          <cell r="F2074">
            <v>21015</v>
          </cell>
          <cell r="G2074" t="str">
            <v>LONATE  POZZOLO</v>
          </cell>
          <cell r="H2074" t="str">
            <v>VA</v>
          </cell>
          <cell r="I2074" t="str">
            <v>ITALIA</v>
          </cell>
          <cell r="J2074" t="str">
            <v>0331-661707</v>
          </cell>
        </row>
        <row r="2075">
          <cell r="B2075">
            <v>9999</v>
          </cell>
          <cell r="C2075" t="str">
            <v>RE.VI. VEICOLI INDUSTRIALI</v>
          </cell>
          <cell r="E2075" t="str">
            <v>VIA BOSCACCIO, 58</v>
          </cell>
          <cell r="F2075">
            <v>21012</v>
          </cell>
          <cell r="G2075" t="str">
            <v>CASSANO MAGNAGO</v>
          </cell>
          <cell r="H2075" t="str">
            <v>VA</v>
          </cell>
          <cell r="I2075" t="str">
            <v>ITALIA</v>
          </cell>
          <cell r="J2075" t="str">
            <v>0331-282015</v>
          </cell>
        </row>
        <row r="2076">
          <cell r="B2076">
            <v>3788</v>
          </cell>
          <cell r="C2076" t="str">
            <v>REA DI RUSSI  ANTONIO</v>
          </cell>
          <cell r="D2076" t="str">
            <v>08394670155 RSSNTN61A17I158P</v>
          </cell>
          <cell r="E2076" t="str">
            <v>VIA SEMPIONE, 231</v>
          </cell>
          <cell r="F2076">
            <v>20016</v>
          </cell>
          <cell r="G2076" t="str">
            <v>PERO</v>
          </cell>
          <cell r="H2076" t="str">
            <v>MI</v>
          </cell>
          <cell r="I2076" t="str">
            <v>ITALIA</v>
          </cell>
          <cell r="J2076" t="str">
            <v xml:space="preserve">02-3534044 </v>
          </cell>
        </row>
        <row r="2077">
          <cell r="B2077">
            <v>4858</v>
          </cell>
          <cell r="C2077" t="str">
            <v>REAL COFFEE DI  IVAN PELACCHI</v>
          </cell>
          <cell r="D2077" t="str">
            <v>07465250962 PLCVNI64T27F205N</v>
          </cell>
          <cell r="E2077" t="str">
            <v>VIA MAZZINI, 9</v>
          </cell>
          <cell r="F2077">
            <v>26828</v>
          </cell>
          <cell r="G2077" t="str">
            <v>TURANO  LODIGIANO</v>
          </cell>
          <cell r="H2077" t="str">
            <v>LO</v>
          </cell>
          <cell r="I2077" t="str">
            <v>ITALIA</v>
          </cell>
          <cell r="J2077" t="str">
            <v>340-1556744</v>
          </cell>
        </row>
        <row r="2078">
          <cell r="B2078">
            <v>7348</v>
          </cell>
          <cell r="C2078" t="str">
            <v>REALE FULVIA</v>
          </cell>
          <cell r="D2078" t="str">
            <v>RLEFLV76T52H501V</v>
          </cell>
          <cell r="E2078" t="str">
            <v>VIA POLLENZA 58</v>
          </cell>
          <cell r="F2078">
            <v>156</v>
          </cell>
          <cell r="G2078" t="str">
            <v>ROMA</v>
          </cell>
          <cell r="H2078" t="str">
            <v>RM</v>
          </cell>
          <cell r="I2078" t="str">
            <v>ITALIA</v>
          </cell>
          <cell r="J2078" t="str">
            <v>392-4505159</v>
          </cell>
        </row>
        <row r="2079">
          <cell r="B2079">
            <v>7086</v>
          </cell>
          <cell r="C2079" t="str">
            <v>REALTA' DIVERSE S. R.L.</v>
          </cell>
          <cell r="D2079" t="str">
            <v>03375960121 03375960121</v>
          </cell>
          <cell r="E2079" t="str">
            <v>VIA ROMA, 53</v>
          </cell>
          <cell r="F2079">
            <v>21047</v>
          </cell>
          <cell r="G2079" t="str">
            <v>SARONNO</v>
          </cell>
          <cell r="H2079" t="str">
            <v>VA</v>
          </cell>
          <cell r="I2079" t="str">
            <v>ITALIA</v>
          </cell>
          <cell r="J2079" t="str">
            <v>335-8089430</v>
          </cell>
        </row>
        <row r="2080">
          <cell r="B2080">
            <v>6592</v>
          </cell>
          <cell r="C2080" t="str">
            <v>REALVENDING S.R.L.</v>
          </cell>
          <cell r="D2080" t="str">
            <v>01638580058 01638580058</v>
          </cell>
          <cell r="E2080" t="str">
            <v>VIA INDUSTRIA, 29</v>
          </cell>
          <cell r="F2080">
            <v>14015</v>
          </cell>
          <cell r="G2080" t="str">
            <v>SAN DAMIANO D' ASTI</v>
          </cell>
          <cell r="H2080" t="str">
            <v>AT</v>
          </cell>
          <cell r="I2080" t="str">
            <v>ITALIA</v>
          </cell>
          <cell r="J2080" t="str">
            <v>0141-982797</v>
          </cell>
        </row>
        <row r="2081">
          <cell r="B2081">
            <v>947</v>
          </cell>
          <cell r="C2081" t="str">
            <v>REDA DI LINGUA  MARCO</v>
          </cell>
          <cell r="D2081" t="str">
            <v>01746340049 LNGMRC61R08D205 O</v>
          </cell>
          <cell r="E2081" t="str">
            <v>VIA CASTELLETTO STURA, 208</v>
          </cell>
          <cell r="F2081">
            <v>12100</v>
          </cell>
          <cell r="G2081" t="str">
            <v>CUNEO</v>
          </cell>
          <cell r="H2081" t="str">
            <v>CN</v>
          </cell>
          <cell r="I2081" t="str">
            <v>ITALIA</v>
          </cell>
          <cell r="J2081" t="str">
            <v>0171-403348</v>
          </cell>
        </row>
        <row r="2082">
          <cell r="B2082">
            <v>1285</v>
          </cell>
          <cell r="C2082" t="str">
            <v>REFER S.R.L.</v>
          </cell>
          <cell r="D2082" t="str">
            <v>12025150157 02113980128</v>
          </cell>
          <cell r="E2082" t="str">
            <v>VIA 11 SETTEMBRE, 1</v>
          </cell>
          <cell r="F2082">
            <v>20023</v>
          </cell>
          <cell r="G2082" t="str">
            <v>CERRO  MAGGIORE</v>
          </cell>
          <cell r="H2082" t="str">
            <v>MI</v>
          </cell>
          <cell r="I2082" t="str">
            <v>ITALIA</v>
          </cell>
          <cell r="J2082" t="str">
            <v>0331-517025</v>
          </cell>
        </row>
        <row r="2083">
          <cell r="B2083">
            <v>7137</v>
          </cell>
          <cell r="C2083" t="str">
            <v>REGAZZINI MILENA</v>
          </cell>
          <cell r="D2083" t="str">
            <v>RGZMLN76H41B110 J</v>
          </cell>
          <cell r="E2083" t="str">
            <v>VIA DANTE ALIGHIERI 6</v>
          </cell>
          <cell r="F2083">
            <v>26040</v>
          </cell>
          <cell r="G2083" t="str">
            <v>SAN MARTINO  DEL LAGO</v>
          </cell>
          <cell r="H2083" t="str">
            <v>CR</v>
          </cell>
          <cell r="I2083" t="str">
            <v>ITALIA</v>
          </cell>
          <cell r="J2083" t="str">
            <v>349-2993112</v>
          </cell>
        </row>
        <row r="2084">
          <cell r="B2084">
            <v>7210</v>
          </cell>
          <cell r="C2084" t="str">
            <v>REGUSONI SILVIA</v>
          </cell>
          <cell r="D2084" t="str">
            <v>RGSSLV71R66G160 Z</v>
          </cell>
          <cell r="E2084" t="str">
            <v>VIA DON G. MINZONI 16</v>
          </cell>
          <cell r="F2084">
            <v>20062</v>
          </cell>
          <cell r="G2084" t="str">
            <v>CASSANO D' ADDA</v>
          </cell>
          <cell r="H2084" t="str">
            <v>MI</v>
          </cell>
          <cell r="I2084" t="str">
            <v>ITALIA</v>
          </cell>
          <cell r="J2084" t="str">
            <v>340-3775603</v>
          </cell>
        </row>
        <row r="2085">
          <cell r="B2085">
            <v>4345</v>
          </cell>
          <cell r="C2085" t="str">
            <v>RELAX CAFFE' DISTRIBUTORI AUTOMATICI</v>
          </cell>
          <cell r="D2085" t="str">
            <v>03452580131 FTTFBA63B06C933N</v>
          </cell>
          <cell r="E2085" t="str">
            <v>VIA BRUSADELLI DON  PEPPINO, 46</v>
          </cell>
          <cell r="F2085">
            <v>22100</v>
          </cell>
          <cell r="G2085" t="str">
            <v>COMO</v>
          </cell>
          <cell r="H2085" t="str">
            <v>CO</v>
          </cell>
          <cell r="I2085" t="str">
            <v>ITALIA</v>
          </cell>
          <cell r="J2085" t="str">
            <v xml:space="preserve">031-266499 </v>
          </cell>
        </row>
        <row r="2086">
          <cell r="B2086">
            <v>7301</v>
          </cell>
          <cell r="C2086" t="str">
            <v>REMEDI KETTI</v>
          </cell>
          <cell r="D2086" t="str">
            <v>RMDKTT68A63E625 L</v>
          </cell>
          <cell r="E2086" t="str">
            <v>VIA GIUSEPPE MAZZINI 9</v>
          </cell>
          <cell r="F2086">
            <v>56020</v>
          </cell>
          <cell r="G2086" t="str">
            <v>MONTOPOLI IN  VAL D'ARNO</v>
          </cell>
          <cell r="H2086" t="str">
            <v>PI</v>
          </cell>
          <cell r="I2086" t="str">
            <v>ITALIA</v>
          </cell>
          <cell r="J2086" t="str">
            <v>392-0496464</v>
          </cell>
        </row>
        <row r="2087">
          <cell r="B2087">
            <v>1808</v>
          </cell>
          <cell r="C2087" t="str">
            <v>REMU EXPRESS  S.A.S. DI  CRISTIANA MUCI &amp;  C.</v>
          </cell>
          <cell r="D2087" t="str">
            <v>02590830135</v>
          </cell>
          <cell r="E2087" t="str">
            <v>VIA CAVOUR, 18</v>
          </cell>
          <cell r="F2087">
            <v>23900</v>
          </cell>
          <cell r="G2087" t="str">
            <v>LECCO</v>
          </cell>
          <cell r="H2087" t="str">
            <v>LC</v>
          </cell>
          <cell r="I2087" t="str">
            <v>ITALIA</v>
          </cell>
          <cell r="J2087" t="str">
            <v>0341-350483</v>
          </cell>
        </row>
        <row r="2088">
          <cell r="B2088">
            <v>7096</v>
          </cell>
          <cell r="C2088" t="str">
            <v>RENNA STEFANO</v>
          </cell>
          <cell r="D2088" t="str">
            <v>RNNSFN68B26F205 S</v>
          </cell>
          <cell r="E2088" t="str">
            <v>VIA NIKOLAJEVKA, 5</v>
          </cell>
          <cell r="F2088">
            <v>20152</v>
          </cell>
          <cell r="G2088" t="str">
            <v>MILANO</v>
          </cell>
          <cell r="H2088" t="str">
            <v>MI</v>
          </cell>
          <cell r="I2088" t="str">
            <v>ITALIA</v>
          </cell>
          <cell r="J2088" t="str">
            <v>347-4198255</v>
          </cell>
        </row>
        <row r="2089">
          <cell r="B2089">
            <v>5460</v>
          </cell>
          <cell r="C2089" t="str">
            <v>RESIDENCE I CIGNI  DI TRINCHERO S. &amp;  C. S.A.S.</v>
          </cell>
          <cell r="D2089" t="str">
            <v>02043960026 02043960026</v>
          </cell>
          <cell r="E2089" t="str">
            <v>STR. BENNE, 1</v>
          </cell>
          <cell r="F2089">
            <v>13044</v>
          </cell>
          <cell r="G2089" t="str">
            <v>CRESCENTINO</v>
          </cell>
          <cell r="H2089" t="str">
            <v>VC</v>
          </cell>
          <cell r="I2089" t="str">
            <v>ITALIA</v>
          </cell>
          <cell r="J2089" t="str">
            <v xml:space="preserve">0161-842503 </v>
          </cell>
        </row>
        <row r="2090">
          <cell r="B2090">
            <v>4334</v>
          </cell>
          <cell r="C2090" t="str">
            <v>RESIDENZA  DOMUS AUREA S.R.L.</v>
          </cell>
          <cell r="D2090" t="str">
            <v>10501411002 10501411002</v>
          </cell>
          <cell r="E2090" t="str">
            <v>VIA PARROCCHIALE , 1 FRAZIONE VERNONE</v>
          </cell>
          <cell r="F2090">
            <v>10020</v>
          </cell>
          <cell r="G2090" t="str">
            <v>MARENTINO</v>
          </cell>
          <cell r="H2090" t="str">
            <v>TO</v>
          </cell>
          <cell r="I2090" t="str">
            <v>ITALIA</v>
          </cell>
          <cell r="J2090" t="str">
            <v>011-9435177</v>
          </cell>
        </row>
        <row r="2091">
          <cell r="B2091">
            <v>6575</v>
          </cell>
          <cell r="C2091" t="str">
            <v>RESPRESSO DI  MONTAGNA  ROBERTA</v>
          </cell>
          <cell r="D2091" t="str">
            <v>09843060964 MNTRRT79D57A940 O</v>
          </cell>
          <cell r="E2091" t="str">
            <v>PIAZZA MARTIRI DELLA LIBERTA' ,6</v>
          </cell>
          <cell r="F2091">
            <v>20021</v>
          </cell>
          <cell r="G2091" t="str">
            <v>BOLLATE</v>
          </cell>
          <cell r="H2091" t="str">
            <v>MI</v>
          </cell>
          <cell r="I2091" t="str">
            <v>ITALIA</v>
          </cell>
          <cell r="J2091" t="str">
            <v>02-45386253</v>
          </cell>
        </row>
        <row r="2092">
          <cell r="B2092">
            <v>7286</v>
          </cell>
          <cell r="C2092" t="str">
            <v>RESTAURACION LC  2020, SOCIEDAD  LIMITADA</v>
          </cell>
          <cell r="D2092" t="str">
            <v>B01794510</v>
          </cell>
          <cell r="E2092" t="str">
            <v>RAMBLA NOVA, 34 BAJOS</v>
          </cell>
          <cell r="F2092">
            <v>43004</v>
          </cell>
          <cell r="G2092" t="str">
            <v>TARRAGONA</v>
          </cell>
          <cell r="I2092" t="str">
            <v>ITALIA</v>
          </cell>
        </row>
        <row r="2093">
          <cell r="B2093">
            <v>8829</v>
          </cell>
          <cell r="C2093" t="str">
            <v>RETRO' GUSTO DI BIANCO KAREN</v>
          </cell>
          <cell r="E2093" t="str">
            <v>VIA SPIELBERG, 29</v>
          </cell>
          <cell r="F2093">
            <v>12037</v>
          </cell>
          <cell r="G2093" t="str">
            <v>SALUZZO</v>
          </cell>
          <cell r="H2093" t="str">
            <v>CN</v>
          </cell>
          <cell r="I2093" t="str">
            <v>ITALIA</v>
          </cell>
          <cell r="J2093" t="str">
            <v>393-7354505</v>
          </cell>
        </row>
        <row r="2094">
          <cell r="B2094">
            <v>8829</v>
          </cell>
          <cell r="E2094" t="str">
            <v>VIA SPIRLBERG, 29</v>
          </cell>
          <cell r="F2094">
            <v>12037</v>
          </cell>
          <cell r="G2094" t="str">
            <v>SALUZZO</v>
          </cell>
          <cell r="H2094" t="str">
            <v>CN</v>
          </cell>
          <cell r="I2094" t="str">
            <v>ITALIA</v>
          </cell>
          <cell r="J2094" t="str">
            <v>393-7354505</v>
          </cell>
        </row>
        <row r="2095">
          <cell r="B2095">
            <v>2315</v>
          </cell>
          <cell r="C2095" t="str">
            <v>REXCAFFE' S.A.S. DI  MOTTA LUIGI MARIA</v>
          </cell>
          <cell r="D2095" t="str">
            <v>02045340961 02045340961</v>
          </cell>
          <cell r="E2095" t="str">
            <v>VIA G. DI VITTORIO, 8</v>
          </cell>
          <cell r="F2095">
            <v>20050</v>
          </cell>
          <cell r="G2095" t="str">
            <v>SOVICO</v>
          </cell>
          <cell r="H2095" t="str">
            <v>MB</v>
          </cell>
          <cell r="I2095" t="str">
            <v>ITALIA</v>
          </cell>
          <cell r="J2095" t="str">
            <v xml:space="preserve">039-2207189 </v>
          </cell>
        </row>
        <row r="2096">
          <cell r="B2096">
            <v>4058</v>
          </cell>
          <cell r="C2096" t="str">
            <v>REZZA VIAGGI</v>
          </cell>
          <cell r="D2096" t="str">
            <v>06092950010 06092950010</v>
          </cell>
          <cell r="E2096" t="str">
            <v>VIA SOMIS, 128</v>
          </cell>
          <cell r="F2096">
            <v>10019</v>
          </cell>
          <cell r="G2096" t="str">
            <v>STRAMBINO</v>
          </cell>
          <cell r="H2096" t="str">
            <v>TO</v>
          </cell>
          <cell r="I2096" t="str">
            <v>ITALIA</v>
          </cell>
          <cell r="J2096" t="str">
            <v>335-6285125</v>
          </cell>
        </row>
        <row r="2097">
          <cell r="B2097">
            <v>3493</v>
          </cell>
          <cell r="C2097" t="str">
            <v>RHEAVENDORS APLIVEN, S.L.</v>
          </cell>
          <cell r="D2097" t="str">
            <v>B65025520</v>
          </cell>
          <cell r="E2097" t="str">
            <v>CALLE PROGRESO, 75 ( POL.IND.ALMEDA)</v>
          </cell>
          <cell r="F2097">
            <v>8940</v>
          </cell>
          <cell r="G2097" t="str">
            <v xml:space="preserve"> -  BARCELONA -</v>
          </cell>
          <cell r="I2097" t="str">
            <v>SPAGNA</v>
          </cell>
          <cell r="J2097"/>
        </row>
        <row r="2098">
          <cell r="B2098">
            <v>4718</v>
          </cell>
          <cell r="C2098" t="str">
            <v>RICCARDI VENDING  S.A.S.</v>
          </cell>
          <cell r="D2098" t="str">
            <v>01701310334 01701310334</v>
          </cell>
          <cell r="E2098" t="str">
            <v>VIA PUCCINI, 15</v>
          </cell>
          <cell r="F2098">
            <v>29100</v>
          </cell>
          <cell r="G2098" t="str">
            <v>PIACENZA</v>
          </cell>
          <cell r="H2098" t="str">
            <v>PC</v>
          </cell>
          <cell r="I2098" t="str">
            <v>ITALIA</v>
          </cell>
          <cell r="J2098" t="str">
            <v>0523-757355 - 335-6043366</v>
          </cell>
        </row>
        <row r="2099">
          <cell r="B2099">
            <v>7155</v>
          </cell>
          <cell r="C2099" t="str">
            <v>RICCI ELENA</v>
          </cell>
          <cell r="D2099" t="str">
            <v>RCCLNE73D60M059 T</v>
          </cell>
          <cell r="E2099" t="str">
            <v>VIA DI MONTE OLIVO, 15</v>
          </cell>
          <cell r="F2099">
            <v>50051</v>
          </cell>
          <cell r="G2099" t="str">
            <v>CASTELFIORENTI NO</v>
          </cell>
          <cell r="H2099" t="str">
            <v>FI</v>
          </cell>
          <cell r="I2099" t="str">
            <v>ITALIA</v>
          </cell>
          <cell r="J2099" t="str">
            <v>392-1021862</v>
          </cell>
        </row>
        <row r="2100">
          <cell r="B2100">
            <v>7115</v>
          </cell>
          <cell r="C2100" t="str">
            <v>RICCIO ILARIA</v>
          </cell>
          <cell r="D2100" t="str">
            <v>RCCLRI96S61H703 O</v>
          </cell>
          <cell r="E2100" t="str">
            <v>VIA SANTA TECLA, 5</v>
          </cell>
          <cell r="F2100">
            <v>84010</v>
          </cell>
          <cell r="G2100" t="str">
            <v>MAIORI</v>
          </cell>
          <cell r="H2100" t="str">
            <v>SA</v>
          </cell>
          <cell r="I2100" t="str">
            <v>ITALIA</v>
          </cell>
          <cell r="J2100" t="str">
            <v>366-2785345</v>
          </cell>
        </row>
        <row r="2101">
          <cell r="B2101">
            <v>7456</v>
          </cell>
          <cell r="C2101" t="str">
            <v>RICCIUTI GIUSEPPE</v>
          </cell>
          <cell r="D2101" t="str">
            <v>RCCGPP48T19C066 M</v>
          </cell>
          <cell r="E2101" t="str">
            <v>VIA PRA' DELLA ZIRALDA,  17/C</v>
          </cell>
          <cell r="F2101">
            <v>30033</v>
          </cell>
          <cell r="G2101" t="str">
            <v>NOALE</v>
          </cell>
          <cell r="H2101" t="str">
            <v>VE</v>
          </cell>
          <cell r="I2101" t="str">
            <v>ITALIA</v>
          </cell>
          <cell r="J2101" t="str">
            <v>338-5675288</v>
          </cell>
        </row>
        <row r="2102">
          <cell r="B2102">
            <v>6482</v>
          </cell>
          <cell r="C2102" t="str">
            <v>RICEVITORIA  TABACCHERIA  BERNASCONI  CLAUDIA</v>
          </cell>
          <cell r="D2102" t="str">
            <v>02661120135</v>
          </cell>
          <cell r="E2102" t="str">
            <v>VIA AL PRATO</v>
          </cell>
          <cell r="F2102">
            <v>23829</v>
          </cell>
          <cell r="G2102" t="str">
            <v>VARENNA</v>
          </cell>
          <cell r="H2102" t="str">
            <v>LC</v>
          </cell>
          <cell r="I2102" t="str">
            <v>ITALIA</v>
          </cell>
          <cell r="J2102" t="str">
            <v xml:space="preserve">0341-815045 </v>
          </cell>
        </row>
        <row r="2103">
          <cell r="B2103">
            <v>1945</v>
          </cell>
          <cell r="C2103" t="str">
            <v>RIGAMONTI ENRICO</v>
          </cell>
          <cell r="D2103" t="str">
            <v>02777420130 RGMNRC73A31G00 9D</v>
          </cell>
          <cell r="E2103" t="str">
            <v>VIA GIOVANNI XXIII, 112</v>
          </cell>
          <cell r="F2103">
            <v>23843</v>
          </cell>
          <cell r="G2103" t="str">
            <v>DOLZAGO</v>
          </cell>
          <cell r="H2103" t="str">
            <v>LC</v>
          </cell>
          <cell r="I2103" t="str">
            <v>ITALIA</v>
          </cell>
          <cell r="J2103" t="str">
            <v>0341-450341</v>
          </cell>
        </row>
        <row r="2104">
          <cell r="B2104">
            <v>7438</v>
          </cell>
          <cell r="C2104" t="str">
            <v>RIGHETTI ELISA</v>
          </cell>
          <cell r="D2104" t="str">
            <v>RGHLSE87B50D940 P</v>
          </cell>
          <cell r="E2104" t="str">
            <v>VIA PER ROE' VOLCIANO  25</v>
          </cell>
          <cell r="F2104">
            <v>25079</v>
          </cell>
          <cell r="G2104" t="str">
            <v>VOBARNO</v>
          </cell>
          <cell r="H2104" t="str">
            <v>BS</v>
          </cell>
          <cell r="I2104" t="str">
            <v>ITALIA</v>
          </cell>
          <cell r="J2104" t="str">
            <v>342-6693713</v>
          </cell>
        </row>
        <row r="2105">
          <cell r="B2105">
            <v>2661</v>
          </cell>
          <cell r="C2105" t="str">
            <v>RILLICAFFE' DI  GALVANO VINCENZO</v>
          </cell>
          <cell r="D2105" t="str">
            <v>02994690135 GLVVCN60R25H159 Q</v>
          </cell>
          <cell r="E2105" t="str">
            <v>VIA XX SETTEMBRE, 14</v>
          </cell>
          <cell r="F2105">
            <v>22020</v>
          </cell>
          <cell r="G2105" t="str">
            <v>BIZZARONE</v>
          </cell>
          <cell r="H2105" t="str">
            <v>CO</v>
          </cell>
          <cell r="I2105" t="str">
            <v>ITALIA</v>
          </cell>
          <cell r="J2105" t="str">
            <v>031-803129</v>
          </cell>
        </row>
        <row r="2106">
          <cell r="B2106">
            <v>4429</v>
          </cell>
          <cell r="C2106" t="str">
            <v>RILLICAFFE' DI  GALVANO VINCENZO</v>
          </cell>
          <cell r="D2106" t="str">
            <v>03484770130 GLVVCN60R25H159 Q</v>
          </cell>
          <cell r="E2106" t="str">
            <v>VIA BRUGHIERA, 7B</v>
          </cell>
          <cell r="F2106">
            <v>22043</v>
          </cell>
          <cell r="G2106" t="str">
            <v>SOLBIATE CON  CAGNO</v>
          </cell>
          <cell r="H2106" t="str">
            <v>CO</v>
          </cell>
          <cell r="I2106" t="str">
            <v>ITALIA</v>
          </cell>
          <cell r="J2106" t="str">
            <v>349-8691330</v>
          </cell>
        </row>
        <row r="2107">
          <cell r="B2107">
            <v>7960</v>
          </cell>
          <cell r="C2107" t="str">
            <v>RIMATIKA</v>
          </cell>
          <cell r="E2107" t="str">
            <v>VIA CARLO CRIVELLI,15-1</v>
          </cell>
          <cell r="F2107">
            <v>20122</v>
          </cell>
          <cell r="G2107" t="str">
            <v>MILANO</v>
          </cell>
          <cell r="H2107" t="str">
            <v>MI</v>
          </cell>
          <cell r="I2107" t="str">
            <v>ITALIA</v>
          </cell>
          <cell r="J2107" t="str">
            <v>041-788248440</v>
          </cell>
        </row>
        <row r="2108">
          <cell r="B2108">
            <v>4841</v>
          </cell>
          <cell r="C2108" t="str">
            <v>RINAUDELLO MAURO</v>
          </cell>
          <cell r="D2108" t="str">
            <v>01791880899 RNDMRA86D20E532 E</v>
          </cell>
          <cell r="E2108" t="str">
            <v>VIA NOVARA, 1</v>
          </cell>
          <cell r="F2108">
            <v>96015</v>
          </cell>
          <cell r="G2108" t="str">
            <v>FRANCOFONTE</v>
          </cell>
          <cell r="H2108" t="str">
            <v>SR</v>
          </cell>
          <cell r="I2108" t="str">
            <v>ITALIA</v>
          </cell>
          <cell r="J2108" t="str">
            <v>338-1948517</v>
          </cell>
        </row>
        <row r="2109">
          <cell r="B2109">
            <v>7181</v>
          </cell>
          <cell r="C2109" t="str">
            <v>RIPARI MARCO</v>
          </cell>
          <cell r="D2109" t="str">
            <v>RPRMRC93M06I156 I</v>
          </cell>
          <cell r="E2109" t="str">
            <v>VIA CIARROCCHI, 6</v>
          </cell>
          <cell r="F2109">
            <v>62012</v>
          </cell>
          <cell r="G2109" t="str">
            <v>CIVITANOVA  MARCHE</v>
          </cell>
          <cell r="H2109" t="str">
            <v>MC</v>
          </cell>
          <cell r="I2109" t="str">
            <v>ITALIA</v>
          </cell>
          <cell r="J2109" t="str">
            <v>346-1210874</v>
          </cell>
        </row>
        <row r="2110">
          <cell r="B2110">
            <v>6596</v>
          </cell>
          <cell r="C2110" t="str">
            <v>RISTO.D.A. S.R.L.</v>
          </cell>
          <cell r="D2110" t="str">
            <v>14594211006 14594211006</v>
          </cell>
          <cell r="E2110" t="str">
            <v>VIA MARITTIMA, 70</v>
          </cell>
          <cell r="F2110">
            <v>3023</v>
          </cell>
          <cell r="G2110" t="str">
            <v>CECCANO</v>
          </cell>
          <cell r="H2110" t="str">
            <v>FR</v>
          </cell>
          <cell r="I2110" t="str">
            <v>ITALIA</v>
          </cell>
          <cell r="J2110" t="str">
            <v>339-3252616</v>
          </cell>
        </row>
        <row r="2111">
          <cell r="B2111">
            <v>4408</v>
          </cell>
          <cell r="C2111" t="str">
            <v>RISTO.S.I. RISTORAZIONI SERVIZI ITALIA S.R.L.</v>
          </cell>
          <cell r="E2111" t="str">
            <v>VIA MARITTIMA, 70</v>
          </cell>
          <cell r="F2111">
            <v>3023</v>
          </cell>
          <cell r="G2111" t="str">
            <v>CECCANO</v>
          </cell>
          <cell r="H2111" t="str">
            <v>FR</v>
          </cell>
          <cell r="I2111" t="str">
            <v>ITALIA</v>
          </cell>
          <cell r="J2111" t="str">
            <v>0775-292140</v>
          </cell>
        </row>
        <row r="2112">
          <cell r="B2112">
            <v>5662</v>
          </cell>
          <cell r="C2112" t="str">
            <v>RISTOR MATIK S. R.L.</v>
          </cell>
          <cell r="D2112" t="str">
            <v>02905840019 02905840019</v>
          </cell>
          <cell r="E2112" t="str">
            <v>STRADA GORETTA, 92/F</v>
          </cell>
          <cell r="F2112">
            <v>10072</v>
          </cell>
          <cell r="G2112" t="str">
            <v>FRAZIONE  MAPPANO-  CASELLE T.SE</v>
          </cell>
          <cell r="H2112" t="str">
            <v>TO</v>
          </cell>
          <cell r="I2112" t="str">
            <v>ITALIA</v>
          </cell>
          <cell r="J2112" t="str">
            <v>011-2201826</v>
          </cell>
        </row>
        <row r="2113">
          <cell r="B2113">
            <v>2199</v>
          </cell>
          <cell r="C2113" t="str">
            <v>RISTOR MATIK SUD  S.R.L.</v>
          </cell>
          <cell r="D2113" t="str">
            <v>04071170650 04071170650</v>
          </cell>
          <cell r="E2113" t="str">
            <v>VIA TIBERIO CLAUDIO  FELICE, 46</v>
          </cell>
          <cell r="F2113">
            <v>84131</v>
          </cell>
          <cell r="G2113" t="str">
            <v>SALERNO</v>
          </cell>
          <cell r="H2113" t="str">
            <v>SA</v>
          </cell>
          <cell r="I2113" t="str">
            <v>ITALIA</v>
          </cell>
          <cell r="J2113" t="str">
            <v>011-2201801</v>
          </cell>
        </row>
        <row r="2114">
          <cell r="B2114">
            <v>6814</v>
          </cell>
          <cell r="C2114" t="str">
            <v>RISTORANTE  PIZZERIA AL  RITROVO LADIES  CAFFE'</v>
          </cell>
          <cell r="D2114" t="str">
            <v>03030140960 03030140960</v>
          </cell>
          <cell r="E2114" t="str">
            <v>VIA C. FERRARI, 77</v>
          </cell>
          <cell r="F2114">
            <v>20099</v>
          </cell>
          <cell r="G2114" t="str">
            <v>SESTO SAN  GIOVANNI</v>
          </cell>
          <cell r="H2114" t="str">
            <v>MI</v>
          </cell>
          <cell r="I2114" t="str">
            <v>ITALIA</v>
          </cell>
          <cell r="J2114" t="str">
            <v>335-7224765</v>
          </cell>
        </row>
        <row r="2115">
          <cell r="B2115">
            <v>4351</v>
          </cell>
          <cell r="C2115" t="str">
            <v>RISTORANTE BUGA  BUGA ZERO S.R.L.</v>
          </cell>
          <cell r="D2115" t="str">
            <v>01526290083 01526290083</v>
          </cell>
          <cell r="E2115" t="str">
            <v>CORSO ITALIA, 13/15</v>
          </cell>
          <cell r="F2115">
            <v>18012</v>
          </cell>
          <cell r="G2115" t="str">
            <v>BORDIGHERA</v>
          </cell>
          <cell r="H2115" t="str">
            <v>IM</v>
          </cell>
          <cell r="I2115" t="str">
            <v>ITALIA</v>
          </cell>
          <cell r="J2115" t="str">
            <v>0184-260135</v>
          </cell>
        </row>
        <row r="2116">
          <cell r="B2116">
            <v>4604</v>
          </cell>
          <cell r="C2116" t="str">
            <v>RISTOSERVICE S.R. L.</v>
          </cell>
          <cell r="D2116" t="str">
            <v>03678270616 03678270616</v>
          </cell>
          <cell r="E2116" t="str">
            <v>VIA MARTIRI D'UNGHERIA, 5</v>
          </cell>
          <cell r="F2116">
            <v>81050</v>
          </cell>
          <cell r="G2116" t="str">
            <v>PORTICO DI  CASERTA</v>
          </cell>
          <cell r="H2116" t="str">
            <v>CE</v>
          </cell>
          <cell r="I2116" t="str">
            <v>ITALIA</v>
          </cell>
          <cell r="J2116" t="str">
            <v>0823-693412</v>
          </cell>
        </row>
        <row r="2117">
          <cell r="B2117">
            <v>4893</v>
          </cell>
          <cell r="C2117" t="str">
            <v>RISTOSERVICE S.R. L.</v>
          </cell>
          <cell r="D2117" t="str">
            <v>08548450967 08548450967</v>
          </cell>
          <cell r="E2117" t="str">
            <v>VIA ACHILLE GRANDI, 80</v>
          </cell>
          <cell r="F2117">
            <v>20862</v>
          </cell>
          <cell r="G2117" t="str">
            <v>ARCORE</v>
          </cell>
          <cell r="H2117" t="str">
            <v>MB</v>
          </cell>
          <cell r="I2117" t="str">
            <v>ITALIA</v>
          </cell>
          <cell r="J2117" t="str">
            <v>039-5159600</v>
          </cell>
        </row>
        <row r="2118">
          <cell r="B2118">
            <v>7334</v>
          </cell>
          <cell r="C2118" t="str">
            <v>RIVABENE  MARIAGIOVANNA</v>
          </cell>
          <cell r="D2118" t="str">
            <v>RVBMGV57R65A794 D</v>
          </cell>
          <cell r="E2118" t="str">
            <v>VIA CARROZZAI 4</v>
          </cell>
          <cell r="F2118">
            <v>24122</v>
          </cell>
          <cell r="G2118" t="str">
            <v>BERGAMO</v>
          </cell>
          <cell r="H2118" t="str">
            <v>BG</v>
          </cell>
          <cell r="I2118" t="str">
            <v>ITALIA</v>
          </cell>
          <cell r="J2118" t="str">
            <v>347-9790364</v>
          </cell>
        </row>
        <row r="2119">
          <cell r="B2119">
            <v>4060</v>
          </cell>
          <cell r="C2119" t="str">
            <v>RIVIERA DISTRIBUTORI S.A.S.</v>
          </cell>
          <cell r="D2119" t="str">
            <v>03652320270 03652320270</v>
          </cell>
          <cell r="E2119" t="str">
            <v>VIA IPPOLITO NIEVO, 2</v>
          </cell>
          <cell r="F2119">
            <v>30030</v>
          </cell>
          <cell r="G2119" t="str">
            <v>PIANIGA</v>
          </cell>
          <cell r="H2119" t="str">
            <v>VE</v>
          </cell>
          <cell r="I2119" t="str">
            <v>ITALIA</v>
          </cell>
          <cell r="J2119" t="str">
            <v>041-464812</v>
          </cell>
        </row>
        <row r="2120">
          <cell r="B2120">
            <v>3638</v>
          </cell>
          <cell r="C2120" t="str">
            <v>RIVIERMATIC DI  GRAMIGNI ROBERTO</v>
          </cell>
          <cell r="D2120" t="str">
            <v>00075670992 GRMRRT56L29C621 D</v>
          </cell>
          <cell r="E2120" t="str">
            <v>VIA DEI DEVOTO, 147</v>
          </cell>
          <cell r="F2120">
            <v>16033</v>
          </cell>
          <cell r="G2120" t="str">
            <v>LAVAGNA</v>
          </cell>
          <cell r="H2120" t="str">
            <v>GE</v>
          </cell>
          <cell r="I2120" t="str">
            <v>ITALIA</v>
          </cell>
          <cell r="J2120" t="str">
            <v>335-5983155</v>
          </cell>
        </row>
        <row r="2121">
          <cell r="B2121">
            <v>4596</v>
          </cell>
          <cell r="C2121" t="str">
            <v>RIZZI EDI</v>
          </cell>
          <cell r="D2121" t="str">
            <v>03833120284 RZZDEI51D48I595H</v>
          </cell>
          <cell r="E2121" t="str">
            <v>VIA TAGLIAMENTO, 4</v>
          </cell>
          <cell r="F2121">
            <v>35030</v>
          </cell>
          <cell r="G2121" t="str">
            <v>SELVAZZANO  DENTRO</v>
          </cell>
          <cell r="H2121" t="str">
            <v>PD</v>
          </cell>
          <cell r="I2121" t="str">
            <v>ITALIA</v>
          </cell>
          <cell r="J2121" t="str">
            <v>333-2459078</v>
          </cell>
        </row>
        <row r="2122">
          <cell r="B2122">
            <v>4547</v>
          </cell>
          <cell r="C2122" t="str">
            <v>RIZZI LEONARDO</v>
          </cell>
          <cell r="D2122" t="str">
            <v>10639040152 RZZLRD57H13E885 L</v>
          </cell>
          <cell r="E2122" t="str">
            <v>VIA BUSTO ARSIZIO, 24</v>
          </cell>
          <cell r="F2122">
            <v>20020</v>
          </cell>
          <cell r="G2122" t="str">
            <v>BUSTO GAROLFO</v>
          </cell>
          <cell r="H2122" t="str">
            <v>MI</v>
          </cell>
          <cell r="I2122" t="str">
            <v>ITALIA</v>
          </cell>
          <cell r="J2122" t="str">
            <v xml:space="preserve">0331-566892 </v>
          </cell>
        </row>
        <row r="2123">
          <cell r="B2123">
            <v>5725</v>
          </cell>
          <cell r="C2123" t="str">
            <v>RIZZO ALDO</v>
          </cell>
          <cell r="D2123" t="str">
            <v>05959360016 RZZLDA68C05G674 W</v>
          </cell>
          <cell r="E2123" t="str">
            <v>STRADALE S.SECONDO,  22</v>
          </cell>
          <cell r="F2123">
            <v>10064</v>
          </cell>
          <cell r="G2123" t="str">
            <v>PINEROLO</v>
          </cell>
          <cell r="H2123" t="str">
            <v>TO</v>
          </cell>
          <cell r="I2123" t="str">
            <v>ITALIA</v>
          </cell>
          <cell r="J2123" t="str">
            <v>0121-202666</v>
          </cell>
        </row>
        <row r="2124">
          <cell r="B2124">
            <v>7536</v>
          </cell>
          <cell r="C2124" t="str">
            <v>RIZZO GIUSEPPE</v>
          </cell>
          <cell r="D2124" t="str">
            <v>RZZGPP86L02C351 Y</v>
          </cell>
          <cell r="E2124" t="str">
            <v>VIA CONTI, 35</v>
          </cell>
          <cell r="F2124">
            <v>25050</v>
          </cell>
          <cell r="G2124" t="str">
            <v>PIAMBORNO</v>
          </cell>
          <cell r="H2124" t="str">
            <v>BS</v>
          </cell>
          <cell r="I2124" t="str">
            <v>ITALIA</v>
          </cell>
          <cell r="J2124" t="str">
            <v>320-7222572</v>
          </cell>
        </row>
        <row r="2125">
          <cell r="B2125">
            <v>5554</v>
          </cell>
          <cell r="C2125" t="str">
            <v>RIZZO ROBERTO</v>
          </cell>
          <cell r="D2125" t="str">
            <v>03730530015 RZZRRT58M07G674 L</v>
          </cell>
          <cell r="E2125" t="str">
            <v>VIA PASUBIO, 20</v>
          </cell>
          <cell r="F2125">
            <v>10064</v>
          </cell>
          <cell r="G2125" t="str">
            <v>PINEROLO</v>
          </cell>
          <cell r="H2125" t="str">
            <v>TO</v>
          </cell>
          <cell r="I2125" t="str">
            <v>ITALIA</v>
          </cell>
          <cell r="J2125" t="str">
            <v xml:space="preserve">0121-76679 </v>
          </cell>
        </row>
        <row r="2126">
          <cell r="B2126">
            <v>4998</v>
          </cell>
          <cell r="C2126" t="str">
            <v>RIZZUTO SAMUELE</v>
          </cell>
          <cell r="D2126" t="str">
            <v>09800060965 RZZSML90C05D912 Q</v>
          </cell>
          <cell r="E2126" t="str">
            <v>VIA TARVISIO, 24</v>
          </cell>
          <cell r="F2126">
            <v>20812</v>
          </cell>
          <cell r="G2126" t="str">
            <v>LIMBIATE</v>
          </cell>
          <cell r="H2126" t="str">
            <v>MB</v>
          </cell>
          <cell r="I2126" t="str">
            <v>ITALIA</v>
          </cell>
          <cell r="J2126" t="str">
            <v>331-2836995</v>
          </cell>
        </row>
        <row r="2127">
          <cell r="B2127">
            <v>6928</v>
          </cell>
          <cell r="C2127" t="str">
            <v>RKB BVBA</v>
          </cell>
          <cell r="D2127" t="str">
            <v>0842070757</v>
          </cell>
          <cell r="E2127" t="str">
            <v>LEUVENSESTEENWEG, 49</v>
          </cell>
          <cell r="F2127">
            <v>1932</v>
          </cell>
          <cell r="G2127" t="str">
            <v>ZAVENTEM -  BRUSSEL</v>
          </cell>
          <cell r="I2127" t="str">
            <v>BELGIO</v>
          </cell>
        </row>
        <row r="2128">
          <cell r="B2128">
            <v>4978</v>
          </cell>
          <cell r="C2128" t="str">
            <v>RMG TRADE S.R.L.S.</v>
          </cell>
          <cell r="D2128" t="str">
            <v>09548670968</v>
          </cell>
          <cell r="E2128" t="str">
            <v>VIA PARADISO, 5</v>
          </cell>
          <cell r="F2128">
            <v>20831</v>
          </cell>
          <cell r="G2128" t="str">
            <v>SEREGNO</v>
          </cell>
          <cell r="H2128" t="str">
            <v>MB</v>
          </cell>
          <cell r="I2128" t="str">
            <v>ITALIA</v>
          </cell>
          <cell r="J2128" t="str">
            <v>039-6773188</v>
          </cell>
        </row>
        <row r="2129">
          <cell r="B2129">
            <v>6897</v>
          </cell>
          <cell r="C2129" t="str">
            <v>ROCCIOLA  FRANCESCO</v>
          </cell>
          <cell r="D2129" t="str">
            <v>03237210962 RCCFNC62B03H703 T</v>
          </cell>
          <cell r="E2129" t="str">
            <v>VIA C.NA BONETTA, 7</v>
          </cell>
          <cell r="F2129">
            <v>20065</v>
          </cell>
          <cell r="G2129" t="str">
            <v>INZAGO</v>
          </cell>
          <cell r="H2129" t="str">
            <v>MI</v>
          </cell>
          <cell r="I2129" t="str">
            <v>ITALIA</v>
          </cell>
          <cell r="J2129" t="str">
            <v>347-7000452</v>
          </cell>
        </row>
        <row r="2130">
          <cell r="B2130">
            <v>7271</v>
          </cell>
          <cell r="C2130" t="str">
            <v>ROCCO DATTILO</v>
          </cell>
          <cell r="D2130" t="str">
            <v>06038920010</v>
          </cell>
          <cell r="E2130" t="str">
            <v>VIA RAIMONDO  MONTECUCCOLI 9</v>
          </cell>
          <cell r="F2130">
            <v>10121</v>
          </cell>
          <cell r="G2130" t="str">
            <v>TORINO</v>
          </cell>
          <cell r="H2130" t="str">
            <v>TO</v>
          </cell>
          <cell r="I2130" t="str">
            <v>ITALIA</v>
          </cell>
          <cell r="J2130" t="str">
            <v>011-5613428</v>
          </cell>
        </row>
        <row r="2131">
          <cell r="B2131">
            <v>3828</v>
          </cell>
          <cell r="C2131" t="str">
            <v>RODA SERVICE DISTRIBUZIONE AUTOMATICA</v>
          </cell>
          <cell r="D2131" t="str">
            <v>01958670034 LVDRRT77L12F952Q</v>
          </cell>
          <cell r="E2131" t="str">
            <v>VIA VERBANO, 64</v>
          </cell>
          <cell r="F2131">
            <v>28100</v>
          </cell>
          <cell r="G2131" t="str">
            <v>NOVARA</v>
          </cell>
          <cell r="H2131" t="str">
            <v>NO</v>
          </cell>
          <cell r="I2131" t="str">
            <v>ITALIA</v>
          </cell>
          <cell r="J2131" t="str">
            <v>345-6361140</v>
          </cell>
        </row>
        <row r="2132">
          <cell r="B2132">
            <v>4295</v>
          </cell>
          <cell r="C2132" t="str">
            <v>RODARO GABRIELLA  MARIA GRAZIA</v>
          </cell>
          <cell r="D2132" t="str">
            <v>07873490960 RDRGRL58L64F205 D</v>
          </cell>
          <cell r="E2132" t="str">
            <v>VIA CENISIO, 40</v>
          </cell>
          <cell r="F2132">
            <v>20154</v>
          </cell>
          <cell r="G2132" t="str">
            <v>MILANO</v>
          </cell>
          <cell r="H2132" t="str">
            <v>MI</v>
          </cell>
          <cell r="I2132" t="str">
            <v>ITALIA</v>
          </cell>
          <cell r="J2132" t="str">
            <v xml:space="preserve">02-3318808 </v>
          </cell>
        </row>
        <row r="2133">
          <cell r="B2133">
            <v>6609</v>
          </cell>
          <cell r="C2133" t="str">
            <v>ROMI CUOR DI  CAFFE' DI BEDETTI  ROBERTA</v>
          </cell>
          <cell r="D2133" t="str">
            <v>02497830998 BDTRRT74P45D969 X</v>
          </cell>
          <cell r="E2133" t="str">
            <v>VIA ORIETTA DORIA, 20R</v>
          </cell>
          <cell r="F2133">
            <v>16100</v>
          </cell>
          <cell r="G2133" t="str">
            <v>GENOVA</v>
          </cell>
          <cell r="H2133" t="str">
            <v>GE</v>
          </cell>
          <cell r="I2133" t="str">
            <v>ITALIA</v>
          </cell>
          <cell r="J2133" t="str">
            <v>375-5268330</v>
          </cell>
        </row>
        <row r="2134">
          <cell r="B2134">
            <v>2458</v>
          </cell>
          <cell r="C2134" t="str">
            <v>ROMIMATIC DI  ROCCO ITALIANO</v>
          </cell>
          <cell r="D2134" t="str">
            <v>04456450966 TLNRCC63A01I536 X</v>
          </cell>
          <cell r="E2134" t="str">
            <v>VIA G. MARCONI, 7</v>
          </cell>
          <cell r="F2134">
            <v>20024</v>
          </cell>
          <cell r="G2134" t="str">
            <v>GARBAGNATE  MILANESE</v>
          </cell>
          <cell r="H2134" t="str">
            <v>MI</v>
          </cell>
          <cell r="I2134" t="str">
            <v>ITALIA</v>
          </cell>
          <cell r="J2134" t="str">
            <v>02-9957485 CELL 348- 9897098</v>
          </cell>
        </row>
        <row r="2135">
          <cell r="B2135">
            <v>7387</v>
          </cell>
          <cell r="C2135" t="str">
            <v>RONCARI RINO</v>
          </cell>
          <cell r="D2135" t="str">
            <v>RNCRNI51H18F696 K</v>
          </cell>
          <cell r="E2135" t="str">
            <v>VIA UDINE 2</v>
          </cell>
          <cell r="F2135">
            <v>36075</v>
          </cell>
          <cell r="G2135" t="str">
            <v>MONTECCHIO  MAGGIORE</v>
          </cell>
          <cell r="H2135" t="str">
            <v>VI</v>
          </cell>
          <cell r="I2135" t="str">
            <v>ITALIA</v>
          </cell>
          <cell r="J2135" t="str">
            <v>335-7623968</v>
          </cell>
        </row>
        <row r="2136">
          <cell r="B2136">
            <v>3627</v>
          </cell>
          <cell r="C2136" t="str">
            <v>RONCHI &amp; RONCHI  S.N.C.</v>
          </cell>
          <cell r="D2136" t="str">
            <v>06793130961 06793130961</v>
          </cell>
          <cell r="E2136" t="str">
            <v>VIA MADONNA, 37</v>
          </cell>
          <cell r="F2136">
            <v>20040</v>
          </cell>
          <cell r="G2136" t="str">
            <v>CAMBIAGO</v>
          </cell>
          <cell r="H2136" t="str">
            <v>MI</v>
          </cell>
          <cell r="I2136" t="str">
            <v>ITALIA</v>
          </cell>
          <cell r="J2136" t="str">
            <v xml:space="preserve">02-9506496 </v>
          </cell>
        </row>
        <row r="2137">
          <cell r="B2137">
            <v>4655</v>
          </cell>
          <cell r="C2137" t="str">
            <v>RONDO' S.R.L.</v>
          </cell>
          <cell r="D2137" t="str">
            <v>07222970969 07222970969</v>
          </cell>
          <cell r="E2137" t="str">
            <v>VIA G. MAZZINI, 13</v>
          </cell>
          <cell r="F2137">
            <v>20812</v>
          </cell>
          <cell r="G2137" t="str">
            <v>LIMBIATE</v>
          </cell>
          <cell r="H2137" t="str">
            <v>MB</v>
          </cell>
          <cell r="I2137" t="str">
            <v>ITALIA</v>
          </cell>
          <cell r="J2137" t="str">
            <v>339-4048920</v>
          </cell>
        </row>
        <row r="2138">
          <cell r="B2138">
            <v>2845</v>
          </cell>
          <cell r="C2138" t="str">
            <v>RONZONI  VENDING S.R.L.</v>
          </cell>
          <cell r="D2138" t="str">
            <v>03393600162 03393600162</v>
          </cell>
          <cell r="E2138" t="str">
            <v>VIA NOVELLI, 9</v>
          </cell>
          <cell r="F2138">
            <v>24122</v>
          </cell>
          <cell r="G2138" t="str">
            <v>BERGAMO</v>
          </cell>
          <cell r="H2138" t="str">
            <v>BG</v>
          </cell>
          <cell r="I2138" t="str">
            <v>ITALIA</v>
          </cell>
          <cell r="J2138" t="str">
            <v xml:space="preserve">035-533209 </v>
          </cell>
        </row>
        <row r="2139">
          <cell r="B2139">
            <v>4663</v>
          </cell>
          <cell r="C2139" t="str">
            <v>RONZONI VENDING  DI RONZONI  NICOLO'</v>
          </cell>
          <cell r="D2139" t="str">
            <v>03863880161 RNZNCL89E07A794 G</v>
          </cell>
          <cell r="E2139" t="str">
            <v>VIA STEZZANO, 18</v>
          </cell>
          <cell r="F2139">
            <v>24052</v>
          </cell>
          <cell r="G2139" t="str">
            <v>AZZANO SAN  PAOLO</v>
          </cell>
          <cell r="H2139" t="str">
            <v>BG</v>
          </cell>
          <cell r="I2139" t="str">
            <v>ITALIA</v>
          </cell>
          <cell r="J2139" t="str">
            <v>035-533209</v>
          </cell>
        </row>
        <row r="2140">
          <cell r="B2140">
            <v>7465</v>
          </cell>
          <cell r="C2140" t="str">
            <v>ROPERTI MASSIMO</v>
          </cell>
          <cell r="D2140" t="str">
            <v>RPRMSM68R01E991 C</v>
          </cell>
          <cell r="E2140" t="str">
            <v>VIA DEL PASTORE 12</v>
          </cell>
          <cell r="F2140">
            <v>39014</v>
          </cell>
          <cell r="G2140" t="str">
            <v>POSTAL</v>
          </cell>
          <cell r="H2140" t="str">
            <v>BZ</v>
          </cell>
          <cell r="I2140" t="str">
            <v>ITALIA</v>
          </cell>
          <cell r="J2140" t="str">
            <v>333-9038880</v>
          </cell>
        </row>
        <row r="2141">
          <cell r="B2141">
            <v>7514</v>
          </cell>
          <cell r="C2141" t="str">
            <v>ROSACE ANGELA  ROBERTA</v>
          </cell>
          <cell r="D2141" t="str">
            <v>RSCNLR79T42H224 H</v>
          </cell>
          <cell r="E2141" t="str">
            <v>VIA ALDO MORO, 4</v>
          </cell>
          <cell r="F2141">
            <v>27050</v>
          </cell>
          <cell r="G2141" t="str">
            <v>CASEI GEROLA</v>
          </cell>
          <cell r="H2141" t="str">
            <v>PV</v>
          </cell>
          <cell r="I2141" t="str">
            <v>ITALIA</v>
          </cell>
          <cell r="J2141" t="str">
            <v>328-7196057</v>
          </cell>
        </row>
        <row r="2142">
          <cell r="B2142">
            <v>4363</v>
          </cell>
          <cell r="C2142" t="str">
            <v>ROSANO VALTER</v>
          </cell>
          <cell r="D2142" t="str">
            <v>02464260047 RSNVTR76S10D205 A</v>
          </cell>
          <cell r="E2142" t="str">
            <v>VIA TORINO, 19</v>
          </cell>
          <cell r="F2142">
            <v>12100</v>
          </cell>
          <cell r="G2142" t="str">
            <v>CUNEO</v>
          </cell>
          <cell r="I2142" t="str">
            <v>ITALIA</v>
          </cell>
          <cell r="J2142" t="str">
            <v xml:space="preserve">0171-412524 </v>
          </cell>
        </row>
        <row r="2143">
          <cell r="B2143">
            <v>6900</v>
          </cell>
          <cell r="C2143" t="str">
            <v>ROSLIN S.N.C. SI  DE SANTO M. E  SENES M.</v>
          </cell>
          <cell r="D2143" t="str">
            <v>10907960016 10907960016</v>
          </cell>
          <cell r="E2143" t="str">
            <v>CORSO PIEMONTE S.N.</v>
          </cell>
          <cell r="F2143">
            <v>10036</v>
          </cell>
          <cell r="G2143" t="str">
            <v>SETTIMO  TORINESE</v>
          </cell>
          <cell r="H2143" t="str">
            <v>TO</v>
          </cell>
          <cell r="I2143" t="str">
            <v>ITALIA</v>
          </cell>
          <cell r="J2143" t="str">
            <v>335-5652411</v>
          </cell>
        </row>
        <row r="2144">
          <cell r="B2144">
            <v>4734</v>
          </cell>
          <cell r="C2144" t="str">
            <v>ROSSANO  MADDALENA</v>
          </cell>
          <cell r="D2144" t="str">
            <v>11386500018 RSSMDL89P62L219 S</v>
          </cell>
          <cell r="E2144" t="str">
            <v>VIA MARTIRI DELLA  LIBERTA', 2 BIS</v>
          </cell>
          <cell r="F2144">
            <v>10045</v>
          </cell>
          <cell r="G2144" t="str">
            <v>PIOSSASCO</v>
          </cell>
          <cell r="H2144" t="str">
            <v>TO</v>
          </cell>
          <cell r="I2144" t="str">
            <v>ITALIA</v>
          </cell>
          <cell r="J2144" t="str">
            <v>349-4670074</v>
          </cell>
        </row>
        <row r="2145">
          <cell r="B2145">
            <v>7407</v>
          </cell>
          <cell r="C2145" t="str">
            <v>ROSSATO SIMONE</v>
          </cell>
          <cell r="D2145" t="str">
            <v>RSSSMN65S04L736 S</v>
          </cell>
          <cell r="E2145" t="str">
            <v>VIA GORNI KRAMER 6/A</v>
          </cell>
          <cell r="F2145">
            <v>44124</v>
          </cell>
          <cell r="G2145" t="str">
            <v>FERRARA</v>
          </cell>
          <cell r="H2145" t="str">
            <v>FE</v>
          </cell>
          <cell r="I2145" t="str">
            <v>ITALIA</v>
          </cell>
          <cell r="J2145" t="str">
            <v>338-6281874</v>
          </cell>
        </row>
        <row r="2146">
          <cell r="B2146">
            <v>4691</v>
          </cell>
          <cell r="C2146" t="str">
            <v>ROSSELLO  RAPPRESENTANZE  DI M. ROSSELLO</v>
          </cell>
          <cell r="D2146" t="str">
            <v>05101950961 RSSMRZ81L15A940 R</v>
          </cell>
          <cell r="E2146" t="str">
            <v>VIA BEETHOVEN, 71</v>
          </cell>
          <cell r="F2146">
            <v>21042</v>
          </cell>
          <cell r="G2146" t="str">
            <v>CARONNO  PERTUSELLA</v>
          </cell>
          <cell r="H2146" t="str">
            <v>VA</v>
          </cell>
          <cell r="I2146" t="str">
            <v>ITALIA</v>
          </cell>
          <cell r="J2146" t="str">
            <v>340-1720454</v>
          </cell>
        </row>
        <row r="2147">
          <cell r="B2147">
            <v>7321</v>
          </cell>
          <cell r="C2147" t="str">
            <v>ROSSETTI  ANTONIETTA</v>
          </cell>
          <cell r="D2147" t="str">
            <v>RSSMNT66P65H687 X</v>
          </cell>
          <cell r="E2147" t="str">
            <v>VIA TORINO 10</v>
          </cell>
          <cell r="F2147">
            <v>75017</v>
          </cell>
          <cell r="G2147" t="str">
            <v>SALANDRA</v>
          </cell>
          <cell r="H2147" t="str">
            <v>MT</v>
          </cell>
          <cell r="I2147" t="str">
            <v>ITALIA</v>
          </cell>
          <cell r="J2147" t="str">
            <v>333-4840581</v>
          </cell>
        </row>
        <row r="2148">
          <cell r="B2148">
            <v>6863</v>
          </cell>
          <cell r="C2148" t="str">
            <v>ROSSO DI  CALABRIA DI  BERTUCCI MARIA  GRAZIA</v>
          </cell>
          <cell r="D2148" t="str">
            <v>10308790962</v>
          </cell>
          <cell r="E2148" t="str">
            <v>VIA IV NOVEMBRE, 71</v>
          </cell>
          <cell r="F2148">
            <v>21040</v>
          </cell>
          <cell r="G2148" t="str">
            <v>UBOLDO</v>
          </cell>
          <cell r="H2148" t="str">
            <v>VA</v>
          </cell>
          <cell r="I2148" t="str">
            <v>ITALIA</v>
          </cell>
          <cell r="J2148" t="str">
            <v>342-6733236</v>
          </cell>
        </row>
        <row r="2149">
          <cell r="B2149">
            <v>4284</v>
          </cell>
          <cell r="C2149" t="str">
            <v>ROSSOCREMA S.R.L.</v>
          </cell>
          <cell r="D2149" t="str">
            <v>02421780699 02421780699</v>
          </cell>
          <cell r="E2149" t="str">
            <v>VIA ERASMO PIAGGIO  C/O PARCO PAGLIA</v>
          </cell>
          <cell r="F2149">
            <v>66100</v>
          </cell>
          <cell r="G2149" t="str">
            <v>CHIETI SCALO</v>
          </cell>
          <cell r="H2149" t="str">
            <v>CH</v>
          </cell>
          <cell r="I2149" t="str">
            <v>ITALIA</v>
          </cell>
          <cell r="J2149" t="str">
            <v>0871-564844</v>
          </cell>
        </row>
        <row r="2150">
          <cell r="B2150">
            <v>7233</v>
          </cell>
          <cell r="C2150" t="str">
            <v>ROTOLO FRANCESCO</v>
          </cell>
          <cell r="D2150" t="str">
            <v>RTLFNC52S23L682D</v>
          </cell>
          <cell r="E2150" t="str">
            <v>VIA CAREE, 16</v>
          </cell>
          <cell r="F2150">
            <v>21021</v>
          </cell>
          <cell r="G2150" t="str">
            <v>ANGERA</v>
          </cell>
          <cell r="H2150" t="str">
            <v>VA</v>
          </cell>
          <cell r="I2150" t="str">
            <v>ITALIA</v>
          </cell>
          <cell r="J2150" t="str">
            <v>371-1368665</v>
          </cell>
        </row>
        <row r="2151">
          <cell r="B2151">
            <v>4497</v>
          </cell>
          <cell r="C2151" t="str">
            <v>ROVEDA EREDI S.A. S. DI MAGISTRELLI  FABRIZIA</v>
          </cell>
          <cell r="D2151" t="str">
            <v>03217810120 03217810120</v>
          </cell>
          <cell r="E2151" t="str">
            <v>VIA C. MENOTTI, 9</v>
          </cell>
          <cell r="F2151">
            <v>20025</v>
          </cell>
          <cell r="G2151" t="str">
            <v>LEGNANO</v>
          </cell>
          <cell r="H2151" t="str">
            <v>VA</v>
          </cell>
          <cell r="I2151" t="str">
            <v>ITALIA</v>
          </cell>
          <cell r="J2151" t="str">
            <v>331-680040</v>
          </cell>
        </row>
        <row r="2152">
          <cell r="B2152">
            <v>3615</v>
          </cell>
          <cell r="C2152" t="str">
            <v>ROVEDA PAOLO E C.  S.A.S.</v>
          </cell>
          <cell r="D2152" t="str">
            <v>03215830963 03215830963</v>
          </cell>
          <cell r="E2152" t="str">
            <v>VIALE BRIANZA, 2 -  ANGOLO VIA  INDIPENDENZA</v>
          </cell>
          <cell r="F2152">
            <v>20821</v>
          </cell>
          <cell r="G2152" t="str">
            <v>MEDA</v>
          </cell>
          <cell r="H2152" t="str">
            <v>MB</v>
          </cell>
          <cell r="I2152" t="str">
            <v>ITALIA</v>
          </cell>
          <cell r="J2152" t="str">
            <v xml:space="preserve">0362-70846 </v>
          </cell>
        </row>
        <row r="2153">
          <cell r="B2153">
            <v>7277</v>
          </cell>
          <cell r="C2153" t="str">
            <v>ROVERSI CINZIA</v>
          </cell>
          <cell r="D2153" t="str">
            <v>RVRCNZ98M65D284 T</v>
          </cell>
          <cell r="E2153" t="str">
            <v>VIA TREVISAGO 58</v>
          </cell>
          <cell r="F2153">
            <v>25080</v>
          </cell>
          <cell r="G2153" t="str">
            <v>MANERBA DEL  GARDA</v>
          </cell>
          <cell r="H2153" t="str">
            <v>BS</v>
          </cell>
          <cell r="I2153" t="str">
            <v>ITALIA</v>
          </cell>
          <cell r="J2153" t="str">
            <v>388-3981008</v>
          </cell>
        </row>
        <row r="2154">
          <cell r="B2154">
            <v>4325</v>
          </cell>
          <cell r="C2154" t="str">
            <v>ROYAL BREAK DI  GAGLIARDI FRANCO</v>
          </cell>
          <cell r="D2154" t="str">
            <v>08158980014 GGLFNC76H21Z112 V</v>
          </cell>
          <cell r="E2154" t="str">
            <v>VIA BERINO, 33</v>
          </cell>
          <cell r="F2154">
            <v>10078</v>
          </cell>
          <cell r="G2154" t="str">
            <v>VENARIA REALE</v>
          </cell>
          <cell r="H2154" t="str">
            <v>TO</v>
          </cell>
          <cell r="I2154" t="str">
            <v>ITALIA</v>
          </cell>
          <cell r="J2154" t="str">
            <v xml:space="preserve">347-4241520 </v>
          </cell>
        </row>
        <row r="2155">
          <cell r="B2155">
            <v>4283</v>
          </cell>
          <cell r="C2155" t="str">
            <v>RT CAFFE' DI  ROBERI TEOFILO</v>
          </cell>
          <cell r="D2155" t="str">
            <v>03457730046 RBRTFL65M30C589 Q</v>
          </cell>
          <cell r="E2155" t="str">
            <v>VIA LISIO, 9</v>
          </cell>
          <cell r="F2155">
            <v>12073</v>
          </cell>
          <cell r="G2155" t="str">
            <v>CEVA</v>
          </cell>
          <cell r="H2155" t="str">
            <v>CN</v>
          </cell>
          <cell r="I2155" t="str">
            <v>ITALIA</v>
          </cell>
          <cell r="J2155" t="str">
            <v xml:space="preserve">335-1374557  </v>
          </cell>
        </row>
        <row r="2156">
          <cell r="B2156">
            <v>7342</v>
          </cell>
          <cell r="C2156" t="str">
            <v>RUFFONI LUCIA</v>
          </cell>
          <cell r="D2156" t="str">
            <v>RFFLCU72H47D284 O</v>
          </cell>
          <cell r="E2156" t="str">
            <v>VIA DEGLI OLMI 11</v>
          </cell>
          <cell r="F2156">
            <v>25015</v>
          </cell>
          <cell r="G2156" t="str">
            <v>DESENZANO DEL  GARDA</v>
          </cell>
          <cell r="H2156" t="str">
            <v>BS</v>
          </cell>
          <cell r="I2156" t="str">
            <v>ITALIA</v>
          </cell>
          <cell r="J2156" t="str">
            <v>333-4949759</v>
          </cell>
        </row>
        <row r="2157">
          <cell r="B2157">
            <v>4521</v>
          </cell>
          <cell r="C2157" t="str">
            <v>RUGGERO UMBERTO  CARLO GUGLIELMINA</v>
          </cell>
          <cell r="D2157" t="str">
            <v>03401070127 GGLRGR57B23D938 T</v>
          </cell>
          <cell r="E2157" t="str">
            <v>VIA SANTA MARIA, 33</v>
          </cell>
          <cell r="F2157">
            <v>21020</v>
          </cell>
          <cell r="G2157" t="str">
            <v>CASALE LITTA</v>
          </cell>
          <cell r="H2157" t="str">
            <v>VA</v>
          </cell>
          <cell r="I2157" t="str">
            <v>ITALIA</v>
          </cell>
          <cell r="J2157" t="str">
            <v>345-4656104</v>
          </cell>
        </row>
        <row r="2158">
          <cell r="B2158">
            <v>3972</v>
          </cell>
          <cell r="C2158" t="str">
            <v>RUGGIRELLO  ALESSANDRA</v>
          </cell>
          <cell r="D2158" t="str">
            <v>09649620011 RGGLSN87L48L219 A</v>
          </cell>
          <cell r="E2158" t="str">
            <v>PIAZZA XVIII DICEMBRE,  5</v>
          </cell>
          <cell r="F2158">
            <v>10100</v>
          </cell>
          <cell r="G2158" t="str">
            <v>TORINO</v>
          </cell>
          <cell r="H2158" t="str">
            <v>TO</v>
          </cell>
          <cell r="I2158" t="str">
            <v>ITALIA</v>
          </cell>
          <cell r="J2158" t="str">
            <v>349-7051117</v>
          </cell>
        </row>
        <row r="2159">
          <cell r="B2159">
            <v>7053</v>
          </cell>
          <cell r="C2159" t="str">
            <v>RUGGIRELLO  ENRICO</v>
          </cell>
          <cell r="D2159" t="str">
            <v>12228190018</v>
          </cell>
          <cell r="E2159" t="str">
            <v>PIAZZA XVIII DICEMBRE,  5</v>
          </cell>
          <cell r="F2159">
            <v>10100</v>
          </cell>
          <cell r="G2159" t="str">
            <v>TORINO</v>
          </cell>
          <cell r="H2159" t="str">
            <v>TO</v>
          </cell>
          <cell r="I2159" t="str">
            <v>ITALIA</v>
          </cell>
          <cell r="J2159" t="str">
            <v>349-7051117</v>
          </cell>
        </row>
        <row r="2160">
          <cell r="B2160">
            <v>3488</v>
          </cell>
          <cell r="C2160" t="str">
            <v>RUO ROCH MICHELE</v>
          </cell>
          <cell r="D2160" t="str">
            <v>02271830016 RRCMHL56P08L219 T</v>
          </cell>
          <cell r="E2160" t="str">
            <v>VIA ROMA, 6</v>
          </cell>
          <cell r="F2160">
            <v>10061</v>
          </cell>
          <cell r="G2160" t="str">
            <v>CAVOUR</v>
          </cell>
          <cell r="H2160" t="str">
            <v>TO</v>
          </cell>
          <cell r="I2160" t="str">
            <v>ITALIA</v>
          </cell>
          <cell r="J2160" t="str">
            <v xml:space="preserve">0121-69783 </v>
          </cell>
        </row>
        <row r="2161">
          <cell r="B2161">
            <v>6537</v>
          </cell>
          <cell r="C2161" t="str">
            <v>S &amp; L GROUP DI  LUCA ZUCCO E C. S. A.S.</v>
          </cell>
          <cell r="D2161" t="str">
            <v>10028560968 10028560968</v>
          </cell>
          <cell r="E2161" t="str">
            <v>VIA I MAGGIO, 16</v>
          </cell>
          <cell r="F2161">
            <v>20024</v>
          </cell>
          <cell r="G2161" t="str">
            <v>GARBAGNATE  MILANESE</v>
          </cell>
          <cell r="H2161" t="str">
            <v>MI</v>
          </cell>
          <cell r="I2161" t="str">
            <v>ITALIA</v>
          </cell>
          <cell r="J2161" t="str">
            <v>338-4452700</v>
          </cell>
        </row>
        <row r="2162">
          <cell r="B2162">
            <v>4811</v>
          </cell>
          <cell r="C2162" t="str">
            <v>S. GIORGIO  DISTRIBUTORI DI  SCARONE GIORGIO</v>
          </cell>
          <cell r="D2162" t="str">
            <v>01650020090 SCRGRG71S28I480 P</v>
          </cell>
          <cell r="E2162" t="str">
            <v>VIA VALLETTA S.  CRISTOFORO, 24/13</v>
          </cell>
          <cell r="F2162">
            <v>17100</v>
          </cell>
          <cell r="G2162" t="str">
            <v>SAVONA</v>
          </cell>
          <cell r="H2162" t="str">
            <v>SV</v>
          </cell>
          <cell r="I2162" t="str">
            <v>ITALIA</v>
          </cell>
          <cell r="J2162" t="str">
            <v>347-4562920</v>
          </cell>
        </row>
        <row r="2163">
          <cell r="B2163">
            <v>2777</v>
          </cell>
          <cell r="C2163" t="str">
            <v>S.B.M. CAFFE' S.R.L.</v>
          </cell>
          <cell r="D2163" t="str">
            <v>05588040963 05588040963</v>
          </cell>
          <cell r="E2163" t="str">
            <v>VILLAGGIO DEI PINI, 19</v>
          </cell>
          <cell r="F2163">
            <v>20040</v>
          </cell>
          <cell r="G2163" t="str">
            <v>USMATE</v>
          </cell>
          <cell r="H2163" t="str">
            <v>MI</v>
          </cell>
          <cell r="I2163" t="str">
            <v>ITALIA</v>
          </cell>
          <cell r="J2163" t="str">
            <v>393- 9215731</v>
          </cell>
        </row>
        <row r="2164">
          <cell r="B2164">
            <v>4326</v>
          </cell>
          <cell r="C2164" t="str">
            <v>S.C.M. SYSTEM COFFEE MATIK S.N.C.</v>
          </cell>
          <cell r="D2164" t="str">
            <v>01583510670 01583510670</v>
          </cell>
          <cell r="E2164" t="str">
            <v>VIA FRATELLI BANDIERA,  59</v>
          </cell>
          <cell r="F2164">
            <v>64028</v>
          </cell>
          <cell r="G2164" t="str">
            <v>SILVI</v>
          </cell>
          <cell r="H2164" t="str">
            <v>TE</v>
          </cell>
          <cell r="I2164" t="str">
            <v>ITALIA</v>
          </cell>
          <cell r="J2164" t="str">
            <v>340-9051179</v>
          </cell>
        </row>
        <row r="2165">
          <cell r="B2165">
            <v>2612</v>
          </cell>
          <cell r="C2165" t="str">
            <v>S.D.A DI ADAMI F. E  PENNATI M. &amp; C. S.A. S.</v>
          </cell>
          <cell r="D2165" t="str">
            <v>05090620153 05090620153</v>
          </cell>
          <cell r="E2165" t="str">
            <v>C.SO EUROPA, 360</v>
          </cell>
          <cell r="F2165">
            <v>20062</v>
          </cell>
          <cell r="G2165" t="str">
            <v>CASSANO D' ADDA</v>
          </cell>
          <cell r="H2165" t="str">
            <v>MI</v>
          </cell>
          <cell r="I2165" t="str">
            <v>ITALIA</v>
          </cell>
          <cell r="J2165" t="str">
            <v>0363-61824</v>
          </cell>
        </row>
        <row r="2166">
          <cell r="B2166">
            <v>1487</v>
          </cell>
          <cell r="C2166" t="str">
            <v>S.D.A. DI SANVITO  VINCENZO</v>
          </cell>
          <cell r="D2166" t="str">
            <v>10452030157 SNVVCN53L31C632 S</v>
          </cell>
          <cell r="E2166" t="str">
            <v>VIA PERICLE, 4</v>
          </cell>
          <cell r="F2166">
            <v>20126</v>
          </cell>
          <cell r="G2166" t="str">
            <v>MILANO</v>
          </cell>
          <cell r="H2166" t="str">
            <v>MI</v>
          </cell>
          <cell r="I2166" t="str">
            <v>ITALIA</v>
          </cell>
          <cell r="J2166" t="str">
            <v>02-2572929</v>
          </cell>
        </row>
        <row r="2167">
          <cell r="B2167">
            <v>6936</v>
          </cell>
          <cell r="C2167" t="str">
            <v>S.D.M. DI  DARBESIO SERGIO</v>
          </cell>
          <cell r="D2167" t="str">
            <v>08909550017 DRBSRG58D30L219 W</v>
          </cell>
          <cell r="E2167" t="str">
            <v>FRAZIONE VAGLIERANO,  19</v>
          </cell>
          <cell r="F2167">
            <v>14100</v>
          </cell>
          <cell r="G2167" t="str">
            <v>ASTI</v>
          </cell>
          <cell r="H2167" t="str">
            <v>AT</v>
          </cell>
          <cell r="I2167" t="str">
            <v>ITALIA</v>
          </cell>
          <cell r="J2167" t="str">
            <v>333-8180678</v>
          </cell>
        </row>
        <row r="2168">
          <cell r="B2168">
            <v>3379</v>
          </cell>
          <cell r="C2168" t="str">
            <v>S.D.N. SPORT S.R.L.</v>
          </cell>
          <cell r="D2168" t="str">
            <v>03091030043 03091030043</v>
          </cell>
          <cell r="E2168" t="str">
            <v>VIA SANTA CATERINA, 39</v>
          </cell>
          <cell r="F2168">
            <v>12037</v>
          </cell>
          <cell r="G2168" t="str">
            <v>SALUZZO</v>
          </cell>
          <cell r="H2168" t="str">
            <v>CN</v>
          </cell>
          <cell r="I2168" t="str">
            <v>ITALIA</v>
          </cell>
          <cell r="J2168" t="str">
            <v xml:space="preserve">347-2202699 </v>
          </cell>
        </row>
        <row r="2169">
          <cell r="B2169">
            <v>4436</v>
          </cell>
          <cell r="C2169" t="str">
            <v>S.G. DISTRIBUZIONE AUTOMATICA S.N.C.</v>
          </cell>
          <cell r="D2169" t="str">
            <v>04901640484</v>
          </cell>
          <cell r="E2169" t="str">
            <v>VIA GUALDRADA, 18/B</v>
          </cell>
          <cell r="F2169">
            <v>50125</v>
          </cell>
          <cell r="G2169" t="str">
            <v>FIRENZE</v>
          </cell>
          <cell r="H2169" t="str">
            <v>FI</v>
          </cell>
          <cell r="I2169" t="str">
            <v>ITALIA</v>
          </cell>
          <cell r="J2169" t="str">
            <v xml:space="preserve">339-1066731 </v>
          </cell>
        </row>
        <row r="2170">
          <cell r="B2170">
            <v>4073</v>
          </cell>
          <cell r="C2170" t="str">
            <v>S.M.E.F.  S.N.C.</v>
          </cell>
          <cell r="D2170" t="str">
            <v>06809590968 06809590968</v>
          </cell>
          <cell r="E2170" t="str">
            <v>VIA EMILIO BROGLIO,  5</v>
          </cell>
          <cell r="F2170">
            <v>20159</v>
          </cell>
          <cell r="G2170" t="str">
            <v>MILANO</v>
          </cell>
          <cell r="H2170" t="str">
            <v>MI</v>
          </cell>
          <cell r="I2170" t="str">
            <v>ITALIA</v>
          </cell>
          <cell r="J2170" t="str">
            <v>338-8612566</v>
          </cell>
        </row>
        <row r="2171">
          <cell r="B2171">
            <v>6941</v>
          </cell>
          <cell r="C2171" t="str">
            <v>S.P.Q.R. SNC DI  CIAMPI IVANO E  REGIA MARCO</v>
          </cell>
          <cell r="D2171" t="str">
            <v>08822990019 08822990019</v>
          </cell>
          <cell r="E2171" t="str">
            <v>VIA LAGO, 33</v>
          </cell>
          <cell r="F2171">
            <v>10010</v>
          </cell>
          <cell r="G2171" t="str">
            <v>CANDIA  CANAVESE</v>
          </cell>
          <cell r="H2171" t="str">
            <v>TO</v>
          </cell>
          <cell r="I2171" t="str">
            <v>ITALIA</v>
          </cell>
          <cell r="J2171" t="str">
            <v>338-7406295</v>
          </cell>
        </row>
        <row r="2172">
          <cell r="B2172">
            <v>4855</v>
          </cell>
          <cell r="C2172" t="str">
            <v>S.R.  DISTRIBUZIONE DI  RAGO LUIGI</v>
          </cell>
          <cell r="D2172" t="str">
            <v>11547250016 11547250016</v>
          </cell>
          <cell r="E2172" t="str">
            <v>VIA ISSIGLIO, 18</v>
          </cell>
          <cell r="F2172">
            <v>10141</v>
          </cell>
          <cell r="G2172" t="str">
            <v>TORINO</v>
          </cell>
          <cell r="H2172" t="str">
            <v>TO</v>
          </cell>
          <cell r="I2172" t="str">
            <v>ITALIA</v>
          </cell>
          <cell r="J2172" t="str">
            <v>339-8402020</v>
          </cell>
        </row>
        <row r="2173">
          <cell r="B2173">
            <v>3688</v>
          </cell>
          <cell r="C2173" t="str">
            <v>S.R. DISTRIBUZIONE AUTOMATICA S.N.C.</v>
          </cell>
          <cell r="D2173" t="str">
            <v>10228180013 10228180013</v>
          </cell>
          <cell r="E2173" t="str">
            <v>VIA DI NANNI, 99I</v>
          </cell>
          <cell r="F2173">
            <v>10141</v>
          </cell>
          <cell r="G2173" t="str">
            <v>TORINO</v>
          </cell>
          <cell r="H2173" t="str">
            <v>TO</v>
          </cell>
          <cell r="I2173" t="str">
            <v>ITALIA</v>
          </cell>
          <cell r="J2173" t="str">
            <v>339-8402020</v>
          </cell>
        </row>
        <row r="2174">
          <cell r="B2174">
            <v>3310</v>
          </cell>
          <cell r="C2174" t="str">
            <v>S.R.A. EREDI  SCHIAVONI  ANTONIO</v>
          </cell>
          <cell r="D2174" t="str">
            <v>03196230928 03196230928</v>
          </cell>
          <cell r="E2174" t="str">
            <v>VIA IS ARENAS, 57</v>
          </cell>
          <cell r="F2174">
            <v>9045</v>
          </cell>
          <cell r="G2174" t="str">
            <v>QUARTU SANT'  ELENA</v>
          </cell>
          <cell r="H2174" t="str">
            <v>CA</v>
          </cell>
          <cell r="I2174" t="str">
            <v>ITALIA</v>
          </cell>
          <cell r="J2174" t="str">
            <v>070-813224</v>
          </cell>
        </row>
        <row r="2175">
          <cell r="B2175">
            <v>4779</v>
          </cell>
          <cell r="C2175" t="str">
            <v>S.VENDING DI  CAPPELLI EMILIO</v>
          </cell>
          <cell r="D2175" t="str">
            <v>11427250011 CPPMLE88D04E379 V</v>
          </cell>
          <cell r="E2175" t="str">
            <v>VIA IV NOVEMBRE, 43/A</v>
          </cell>
          <cell r="F2175">
            <v>10010</v>
          </cell>
          <cell r="G2175" t="str">
            <v>MERCENASCO</v>
          </cell>
          <cell r="H2175" t="str">
            <v>TO</v>
          </cell>
          <cell r="I2175" t="str">
            <v>ITALIA</v>
          </cell>
          <cell r="J2175" t="str">
            <v>348-5460158</v>
          </cell>
        </row>
        <row r="2176">
          <cell r="B2176">
            <v>4745</v>
          </cell>
          <cell r="C2176" t="str">
            <v>SA LE MOOREA</v>
          </cell>
          <cell r="D2176" t="str">
            <v>89321905325</v>
          </cell>
          <cell r="E2176" t="str">
            <v>RTE DU BORD DE  MER RN 98</v>
          </cell>
          <cell r="F2176">
            <v>6700</v>
          </cell>
          <cell r="G2176" t="str">
            <v>SAINT LAURENT  DU VAR - NICE -  FRANCE</v>
          </cell>
          <cell r="I2176" t="str">
            <v>FRANCIA</v>
          </cell>
        </row>
        <row r="2177">
          <cell r="B2177">
            <v>2663</v>
          </cell>
          <cell r="C2177" t="str">
            <v>SA.FA DI GALLO  FABRIZIO</v>
          </cell>
          <cell r="D2177" t="str">
            <v>06621220018 GLLFRZ68L22L219K</v>
          </cell>
          <cell r="E2177" t="str">
            <v>VIA DEL VASCHETTO, 88</v>
          </cell>
          <cell r="F2177">
            <v>10046</v>
          </cell>
          <cell r="G2177" t="str">
            <v>POIRINO</v>
          </cell>
          <cell r="H2177" t="str">
            <v>TO</v>
          </cell>
          <cell r="I2177" t="str">
            <v>ITALIA</v>
          </cell>
          <cell r="J2177" t="str">
            <v xml:space="preserve">011-9451228 </v>
          </cell>
        </row>
        <row r="2178">
          <cell r="B2178">
            <v>6554</v>
          </cell>
          <cell r="C2178" t="str">
            <v>SA.I.BA. S.R.L.</v>
          </cell>
          <cell r="D2178" t="str">
            <v>02815560798 02815560798</v>
          </cell>
          <cell r="E2178" t="str">
            <v>VIALE CASTELLA, 21</v>
          </cell>
          <cell r="F2178">
            <v>88841</v>
          </cell>
          <cell r="G2178" t="str">
            <v>ISOLA DI  CAPORIZZUTO</v>
          </cell>
          <cell r="H2178" t="str">
            <v>KR</v>
          </cell>
          <cell r="I2178" t="str">
            <v>ITALIA</v>
          </cell>
          <cell r="J2178" t="str">
            <v>0962-791416</v>
          </cell>
        </row>
        <row r="2179">
          <cell r="B2179">
            <v>3691</v>
          </cell>
          <cell r="C2179" t="str">
            <v>SABY S.A.S. DI  SABINA MOI &amp; C.</v>
          </cell>
          <cell r="D2179" t="str">
            <v>06827620961 06827620961</v>
          </cell>
          <cell r="E2179" t="str">
            <v>VIA VENEZIA, 2</v>
          </cell>
          <cell r="F2179">
            <v>20060</v>
          </cell>
          <cell r="G2179" t="str">
            <v>MILANO</v>
          </cell>
          <cell r="H2179" t="str">
            <v>MI</v>
          </cell>
          <cell r="I2179" t="str">
            <v>ITALIA</v>
          </cell>
          <cell r="J2179" t="str">
            <v xml:space="preserve">340-0585363 </v>
          </cell>
        </row>
        <row r="2180">
          <cell r="B2180">
            <v>3879</v>
          </cell>
          <cell r="C2180" t="str">
            <v>SAC SERIGRAF  CONTAINER GROUP  S.R.L.</v>
          </cell>
          <cell r="D2180" t="str">
            <v>01006730111 01006730111</v>
          </cell>
          <cell r="E2180" t="str">
            <v>VIA DELLA PIANTA, 102</v>
          </cell>
          <cell r="F2180">
            <v>19126</v>
          </cell>
          <cell r="G2180" t="str">
            <v>LA SPEZIA</v>
          </cell>
          <cell r="H2180" t="str">
            <v>SP</v>
          </cell>
          <cell r="I2180" t="str">
            <v>ITALIA</v>
          </cell>
          <cell r="J2180" t="str">
            <v xml:space="preserve">0187-503784 </v>
          </cell>
        </row>
        <row r="2181">
          <cell r="B2181">
            <v>4475</v>
          </cell>
          <cell r="C2181" t="str">
            <v>SACED S.R.L.</v>
          </cell>
          <cell r="D2181" t="str">
            <v>00934480047 00934480047</v>
          </cell>
          <cell r="E2181" t="str">
            <v>VIA CASTELLETTO STURA, 132</v>
          </cell>
          <cell r="F2181">
            <v>12100</v>
          </cell>
          <cell r="G2181" t="str">
            <v>CUNEO</v>
          </cell>
          <cell r="H2181" t="str">
            <v>CN</v>
          </cell>
          <cell r="I2181" t="str">
            <v>ITALIA</v>
          </cell>
          <cell r="J2181" t="str">
            <v xml:space="preserve">0171-346291 </v>
          </cell>
        </row>
        <row r="2182">
          <cell r="B2182">
            <v>6846</v>
          </cell>
          <cell r="C2182" t="str">
            <v>SAIBABAR S.R.L.</v>
          </cell>
          <cell r="D2182" t="str">
            <v>14803011007</v>
          </cell>
          <cell r="E2182" t="str">
            <v>VIA GIUNIO BAZZONI, 1  INT. 21</v>
          </cell>
          <cell r="F2182">
            <v>195</v>
          </cell>
          <cell r="G2182" t="str">
            <v>ROMA</v>
          </cell>
          <cell r="H2182" t="str">
            <v>RM</v>
          </cell>
          <cell r="I2182" t="str">
            <v>ITALIA</v>
          </cell>
          <cell r="J2182" t="str">
            <v>0962-791416</v>
          </cell>
        </row>
        <row r="2183">
          <cell r="B2183">
            <v>4244</v>
          </cell>
          <cell r="C2183" t="str">
            <v>SALEX DI  MARANGON  DANIELA &amp; C. S.A.S.</v>
          </cell>
          <cell r="D2183" t="str">
            <v>02246860031 02246860031</v>
          </cell>
          <cell r="E2183" t="str">
            <v>VIA CAMPONUOVO, 14</v>
          </cell>
          <cell r="F2183">
            <v>28831</v>
          </cell>
          <cell r="G2183" t="str">
            <v>BAVENO</v>
          </cell>
          <cell r="H2183" t="str">
            <v>VB</v>
          </cell>
          <cell r="I2183" t="str">
            <v>ITALIA</v>
          </cell>
          <cell r="J2183" t="str">
            <v xml:space="preserve">0323-919943 </v>
          </cell>
        </row>
        <row r="2184">
          <cell r="B2184">
            <v>6494</v>
          </cell>
          <cell r="C2184" t="str">
            <v>SALSI CELESTINO &amp;  C. S.N.C.</v>
          </cell>
          <cell r="D2184" t="str">
            <v>01740480023</v>
          </cell>
          <cell r="E2184" t="str">
            <v>VIA ISONZO, 5</v>
          </cell>
          <cell r="F2184">
            <v>13039</v>
          </cell>
          <cell r="G2184" t="str">
            <v>TRINO</v>
          </cell>
          <cell r="H2184" t="str">
            <v>VC</v>
          </cell>
          <cell r="I2184" t="str">
            <v>ITALIA</v>
          </cell>
          <cell r="J2184" t="str">
            <v>0161-801795</v>
          </cell>
        </row>
        <row r="2185">
          <cell r="B2185">
            <v>7173</v>
          </cell>
          <cell r="C2185" t="str">
            <v>SALYSOL EESTI OU</v>
          </cell>
          <cell r="D2185" t="str">
            <v>101645458</v>
          </cell>
          <cell r="E2185" t="str">
            <v>LIIMI TN, 1</v>
          </cell>
          <cell r="F2185">
            <v>10621</v>
          </cell>
          <cell r="G2185" t="str">
            <v>HARJUMAA -  TALLIN LINN</v>
          </cell>
          <cell r="I2185" t="str">
            <v>ESTONIA</v>
          </cell>
          <cell r="J2185" t="str">
            <v>+372-58586901</v>
          </cell>
        </row>
        <row r="2186">
          <cell r="B2186">
            <v>1438</v>
          </cell>
          <cell r="C2186" t="str">
            <v>SAMMY SERVICE  S.N.C. DI MONZA  GIUSEPPE E C.</v>
          </cell>
          <cell r="D2186" t="str">
            <v>02492500125 02492500125</v>
          </cell>
          <cell r="E2186" t="str">
            <v>VIA PAPA GIOVANNI  XXIII, 15</v>
          </cell>
          <cell r="F2186">
            <v>21040</v>
          </cell>
          <cell r="G2186" t="str">
            <v>GERENZANO</v>
          </cell>
          <cell r="H2186" t="str">
            <v>VA</v>
          </cell>
          <cell r="I2186" t="str">
            <v>ITALIA</v>
          </cell>
          <cell r="J2186" t="str">
            <v xml:space="preserve">02-9682420 </v>
          </cell>
        </row>
        <row r="2187">
          <cell r="B2187">
            <v>4819</v>
          </cell>
          <cell r="C2187" t="str">
            <v>SAN FRANCESCO S. A.S</v>
          </cell>
          <cell r="D2187" t="str">
            <v>10420080011 10420080011</v>
          </cell>
          <cell r="E2187" t="str">
            <v>VIA CASALE 11</v>
          </cell>
          <cell r="F2187">
            <v>10033</v>
          </cell>
          <cell r="G2187" t="str">
            <v>CASTELROSSO</v>
          </cell>
          <cell r="H2187" t="str">
            <v>TO</v>
          </cell>
          <cell r="I2187" t="str">
            <v>ITALIA</v>
          </cell>
          <cell r="J2187" t="str">
            <v>011-9102358</v>
          </cell>
        </row>
        <row r="2188">
          <cell r="B2188">
            <v>4309</v>
          </cell>
          <cell r="C2188" t="str">
            <v>SANA  DANIELA</v>
          </cell>
          <cell r="D2188" t="str">
            <v>03443630169 SNADNL86A67G856 Y</v>
          </cell>
          <cell r="E2188" t="str">
            <v>VIA C.SERASSI 1</v>
          </cell>
          <cell r="F2188">
            <v>24030</v>
          </cell>
          <cell r="G2188" t="str">
            <v>PRESEZZO</v>
          </cell>
          <cell r="H2188" t="str">
            <v>BG</v>
          </cell>
          <cell r="I2188" t="str">
            <v>ITALIA</v>
          </cell>
          <cell r="J2188" t="str">
            <v xml:space="preserve">345-3368068 </v>
          </cell>
        </row>
        <row r="2189">
          <cell r="B2189">
            <v>2692</v>
          </cell>
          <cell r="C2189" t="str">
            <v>SANDENVENDO GMBH ITALIAN BRANCH</v>
          </cell>
          <cell r="E2189" t="str">
            <v>VIA GALEOTTO DEL CARRETTO, 10</v>
          </cell>
          <cell r="F2189">
            <v>15033</v>
          </cell>
          <cell r="G2189" t="str">
            <v>CASALE MONFERRATO</v>
          </cell>
          <cell r="I2189" t="str">
            <v>ITALIA</v>
          </cell>
        </row>
        <row r="2190">
          <cell r="B2190">
            <v>3237</v>
          </cell>
          <cell r="C2190" t="str">
            <v>SANITA' LUCA</v>
          </cell>
          <cell r="D2190" t="str">
            <v>02688050984 SNTLCU72H20B110 N</v>
          </cell>
          <cell r="E2190" t="str">
            <v>VIA FARINATI, 46</v>
          </cell>
          <cell r="F2190">
            <v>25011</v>
          </cell>
          <cell r="G2190" t="str">
            <v>CALCINATO</v>
          </cell>
          <cell r="H2190" t="str">
            <v>BS</v>
          </cell>
          <cell r="I2190" t="str">
            <v>ITALIA</v>
          </cell>
          <cell r="J2190" t="str">
            <v>349-3287887</v>
          </cell>
        </row>
        <row r="2191">
          <cell r="B2191">
            <v>7523</v>
          </cell>
          <cell r="C2191" t="str">
            <v>SANSONE DEBORA</v>
          </cell>
          <cell r="D2191" t="str">
            <v>SNSDBR88P50E715 Y</v>
          </cell>
          <cell r="E2191" t="str">
            <v>VIA DELLA CHIESA 1</v>
          </cell>
          <cell r="F2191">
            <v>55062</v>
          </cell>
          <cell r="G2191" t="str">
            <v>PIEVE DI  COMPITO</v>
          </cell>
          <cell r="H2191" t="str">
            <v>LU</v>
          </cell>
          <cell r="I2191" t="str">
            <v>ITALIA</v>
          </cell>
          <cell r="J2191" t="str">
            <v>368-7571330</v>
          </cell>
        </row>
        <row r="2192">
          <cell r="B2192">
            <v>6954</v>
          </cell>
          <cell r="C2192" t="str">
            <v>SANTACROCE  GIACOMO</v>
          </cell>
          <cell r="D2192" t="str">
            <v>10237950968 SNTGCM86H21A522 W</v>
          </cell>
          <cell r="E2192" t="str">
            <v>VIA F. PARACELSO, 10</v>
          </cell>
          <cell r="F2192">
            <v>20129</v>
          </cell>
          <cell r="G2192" t="str">
            <v>MILANO</v>
          </cell>
          <cell r="H2192" t="str">
            <v>MI</v>
          </cell>
          <cell r="I2192" t="str">
            <v>ITALIA</v>
          </cell>
          <cell r="J2192" t="str">
            <v>02-87392659</v>
          </cell>
        </row>
        <row r="2193">
          <cell r="B2193">
            <v>7526</v>
          </cell>
          <cell r="C2193" t="str">
            <v>SANTI FLAVIO</v>
          </cell>
          <cell r="D2193" t="str">
            <v>01272360189 SNTFLV63C06G388 R</v>
          </cell>
          <cell r="E2193" t="str">
            <v>VIA ALLA COSTA, 12</v>
          </cell>
          <cell r="F2193">
            <v>27039</v>
          </cell>
          <cell r="G2193" t="str">
            <v>SANNAZZARO  DE' BURGONDI</v>
          </cell>
          <cell r="H2193" t="str">
            <v>PV</v>
          </cell>
          <cell r="I2193" t="str">
            <v>ITALIA</v>
          </cell>
          <cell r="J2193" t="str">
            <v>338-1396701</v>
          </cell>
        </row>
        <row r="2194">
          <cell r="B2194">
            <v>7046</v>
          </cell>
          <cell r="C2194" t="str">
            <v>SANTORO MONICA</v>
          </cell>
          <cell r="D2194" t="str">
            <v>SNTMNC67L48H501 M</v>
          </cell>
          <cell r="E2194" t="str">
            <v>VIA ENRICO  MAZZOCCOLO, 6</v>
          </cell>
          <cell r="F2194">
            <v>175</v>
          </cell>
          <cell r="G2194" t="str">
            <v>ROMA</v>
          </cell>
          <cell r="H2194" t="str">
            <v>RM</v>
          </cell>
          <cell r="I2194" t="str">
            <v>ITALIA</v>
          </cell>
          <cell r="J2194" t="str">
            <v>393-6585236</v>
          </cell>
        </row>
        <row r="2195">
          <cell r="B2195">
            <v>3573</v>
          </cell>
          <cell r="C2195" t="str">
            <v>SANVITO FRANCO</v>
          </cell>
          <cell r="D2195" t="str">
            <v>SNVFNC42M13D013 H</v>
          </cell>
          <cell r="E2195" t="str">
            <v>VIA VITTORIO VENETO, 21</v>
          </cell>
          <cell r="F2195">
            <v>20032</v>
          </cell>
          <cell r="G2195" t="str">
            <v>CORMANO</v>
          </cell>
          <cell r="H2195" t="str">
            <v>MI</v>
          </cell>
          <cell r="I2195" t="str">
            <v>ITALIA</v>
          </cell>
        </row>
        <row r="2196">
          <cell r="B2196">
            <v>4502</v>
          </cell>
          <cell r="C2196" t="str">
            <v>SAPORE DI CAFFE'  DI MERCURI  MICHELE</v>
          </cell>
          <cell r="D2196" t="str">
            <v>03459460139 MRCMHL73S29E063 X</v>
          </cell>
          <cell r="E2196" t="str">
            <v>VIA RISORGIMENTO, 5</v>
          </cell>
          <cell r="F2196">
            <v>22071</v>
          </cell>
          <cell r="G2196" t="str">
            <v>CADORAGO</v>
          </cell>
          <cell r="H2196" t="str">
            <v>CO</v>
          </cell>
          <cell r="I2196" t="str">
            <v>ITALIA</v>
          </cell>
          <cell r="J2196" t="str">
            <v>333-4631533</v>
          </cell>
        </row>
        <row r="2197">
          <cell r="B2197">
            <v>6470</v>
          </cell>
          <cell r="C2197" t="str">
            <v>SARBA DI  ARRIGONI BATTAIA  SEVERINO</v>
          </cell>
          <cell r="D2197" t="str">
            <v>03570760136 RRGSRN62T26A687 L</v>
          </cell>
          <cell r="E2197" t="str">
            <v>VIA BERNIGA, 4</v>
          </cell>
          <cell r="F2197">
            <v>23816</v>
          </cell>
          <cell r="G2197" t="str">
            <v>BARZIO</v>
          </cell>
          <cell r="H2197" t="str">
            <v>LC</v>
          </cell>
          <cell r="I2197" t="str">
            <v>ITALIA</v>
          </cell>
          <cell r="J2197" t="str">
            <v>0341-1883485</v>
          </cell>
        </row>
        <row r="2198">
          <cell r="B2198">
            <v>6657</v>
          </cell>
          <cell r="C2198" t="str">
            <v>SARDALEASING  S.P.A.</v>
          </cell>
          <cell r="D2198" t="str">
            <v>00319850905 00319850905</v>
          </cell>
          <cell r="E2198" t="str">
            <v>VIA IV NOVEMBRE, 27</v>
          </cell>
          <cell r="F2198">
            <v>7100</v>
          </cell>
          <cell r="G2198" t="str">
            <v>SASSARI</v>
          </cell>
          <cell r="H2198" t="str">
            <v>SS</v>
          </cell>
          <cell r="I2198" t="str">
            <v>ITALIA</v>
          </cell>
          <cell r="J2198" t="str">
            <v>079-289056</v>
          </cell>
        </row>
        <row r="2199">
          <cell r="B2199">
            <v>6874</v>
          </cell>
          <cell r="C2199" t="str">
            <v>SARDALEASING S.P. A.</v>
          </cell>
          <cell r="D2199" t="str">
            <v>03830780361 00319850905</v>
          </cell>
          <cell r="E2199" t="str">
            <v>VIA IV NOVEMBRE, 27</v>
          </cell>
          <cell r="F2199">
            <v>7100</v>
          </cell>
          <cell r="G2199" t="str">
            <v>SASSARI</v>
          </cell>
          <cell r="H2199" t="str">
            <v>SS</v>
          </cell>
          <cell r="I2199" t="str">
            <v>ITALIA</v>
          </cell>
          <cell r="J2199" t="str">
            <v>079-289056</v>
          </cell>
        </row>
        <row r="2200">
          <cell r="B2200">
            <v>4265</v>
          </cell>
          <cell r="C2200" t="str">
            <v>SARDINIA VENDING  SERVICE S.R.L.</v>
          </cell>
          <cell r="D2200" t="str">
            <v>03385240928</v>
          </cell>
          <cell r="E2200" t="str">
            <v>VIA L. ARIOSTO, 60</v>
          </cell>
          <cell r="F2200">
            <v>9045</v>
          </cell>
          <cell r="G2200" t="str">
            <v>QUARTU SANT'  ELENA</v>
          </cell>
          <cell r="H2200" t="str">
            <v>CA</v>
          </cell>
          <cell r="I2200" t="str">
            <v>ITALIA</v>
          </cell>
          <cell r="J2200" t="str">
            <v xml:space="preserve">070-8676867 </v>
          </cell>
        </row>
        <row r="2201">
          <cell r="B2201">
            <v>6461</v>
          </cell>
          <cell r="C2201" t="str">
            <v>SARL AMICI MIEI</v>
          </cell>
          <cell r="D2201" t="str">
            <v>02000054543</v>
          </cell>
          <cell r="E2201" t="str">
            <v>16, QUAI JEAN-CHARLES  REY</v>
          </cell>
          <cell r="F2201">
            <v>98000</v>
          </cell>
          <cell r="G2201" t="str">
            <v>MONACO (PTE  DE MONACO)</v>
          </cell>
          <cell r="I2201" t="str">
            <v>ITALIA</v>
          </cell>
          <cell r="J2201" t="str">
            <v>334-9042987</v>
          </cell>
        </row>
        <row r="2202">
          <cell r="B2202">
            <v>4365</v>
          </cell>
          <cell r="C2202" t="str">
            <v>SARL AMJ</v>
          </cell>
          <cell r="D2202" t="str">
            <v>81529625261</v>
          </cell>
          <cell r="E2202" t="str">
            <v>25, RUE EMILE DUPORT</v>
          </cell>
          <cell r="F2202">
            <v>69600</v>
          </cell>
          <cell r="G2202" t="str">
            <v>LYON - FRANCE -</v>
          </cell>
          <cell r="I2202" t="str">
            <v>FRANCIA</v>
          </cell>
          <cell r="J2202" t="str">
            <v>00336-20686160</v>
          </cell>
        </row>
        <row r="2203">
          <cell r="B2203">
            <v>7202</v>
          </cell>
          <cell r="C2203" t="str">
            <v>SARL PRODIAF</v>
          </cell>
          <cell r="D2203" t="str">
            <v>06389152067</v>
          </cell>
          <cell r="E2203" t="str">
            <v>11, RUE JEAN ZAY</v>
          </cell>
          <cell r="F2203">
            <v>69800</v>
          </cell>
          <cell r="G2203" t="str">
            <v>ST PRIEST - LYON - FRANCE</v>
          </cell>
          <cell r="I2203" t="str">
            <v>FRANCIA</v>
          </cell>
          <cell r="J2203"/>
        </row>
        <row r="2204">
          <cell r="B2204">
            <v>3023</v>
          </cell>
          <cell r="C2204" t="str">
            <v>SARL RISTOR  FRANCE</v>
          </cell>
          <cell r="D2204" t="str">
            <v>04404936262</v>
          </cell>
          <cell r="E2204" t="str">
            <v>15, ALLEE' DES  GEOMETRES Z.I.</v>
          </cell>
          <cell r="F2204">
            <v>6700</v>
          </cell>
          <cell r="G2204" t="str">
            <v>SAINT LAURENT  DU VAR</v>
          </cell>
          <cell r="I2204" t="str">
            <v>FRANCIA</v>
          </cell>
          <cell r="J2204"/>
        </row>
        <row r="2205">
          <cell r="B2205">
            <v>4863</v>
          </cell>
          <cell r="C2205" t="str">
            <v>SARL WALT</v>
          </cell>
          <cell r="D2205" t="str">
            <v>56000087444</v>
          </cell>
          <cell r="E2205" t="str">
            <v>7/9, AV.DE GRANDE- BRETAGNE</v>
          </cell>
          <cell r="F2205">
            <v>98000</v>
          </cell>
          <cell r="G2205" t="str">
            <v>MONACO (PTE  DE MONACO)</v>
          </cell>
          <cell r="I2205" t="str">
            <v>MONACO</v>
          </cell>
          <cell r="J2205"/>
        </row>
        <row r="2206">
          <cell r="B2206">
            <v>7413</v>
          </cell>
          <cell r="C2206" t="str">
            <v>SARTOR MARICA</v>
          </cell>
          <cell r="D2206" t="str">
            <v>SRTMRC72S63G408 N</v>
          </cell>
          <cell r="E2206" t="str">
            <v>VIA ASIAGO, 11/B</v>
          </cell>
          <cell r="F2206">
            <v>31034</v>
          </cell>
          <cell r="G2206" t="str">
            <v>CAVASO DEL  TOMBA</v>
          </cell>
          <cell r="H2206" t="str">
            <v>TV</v>
          </cell>
          <cell r="I2206" t="str">
            <v>ITALIA</v>
          </cell>
          <cell r="J2206">
            <v>3395071610</v>
          </cell>
        </row>
        <row r="2207">
          <cell r="B2207">
            <v>4809</v>
          </cell>
          <cell r="C2207" t="str">
            <v>SAS CASA ITALIA</v>
          </cell>
          <cell r="D2207" t="str">
            <v>30808408579 30808408579</v>
          </cell>
          <cell r="E2207" t="str">
            <v>17, QUAI ST JEAN</v>
          </cell>
          <cell r="F2207">
            <v>65100</v>
          </cell>
          <cell r="G2207" t="str">
            <v>LOURDES</v>
          </cell>
          <cell r="I2207" t="str">
            <v>FRANCIA</v>
          </cell>
          <cell r="J2207"/>
        </row>
        <row r="2208">
          <cell r="B2208">
            <v>4635</v>
          </cell>
          <cell r="C2208" t="str">
            <v>SAS FLORENCE &amp;  MARIS STELLA</v>
          </cell>
          <cell r="D2208" t="str">
            <v>73808408561</v>
          </cell>
          <cell r="E2208" t="str">
            <v>42, RUE DE PAU</v>
          </cell>
          <cell r="F2208">
            <v>65100</v>
          </cell>
          <cell r="G2208" t="str">
            <v>LOURDES</v>
          </cell>
          <cell r="I2208" t="str">
            <v>FRANCIA</v>
          </cell>
          <cell r="J2208"/>
        </row>
        <row r="2209">
          <cell r="B2209">
            <v>4688</v>
          </cell>
          <cell r="C2209" t="str">
            <v>SAS LA SOURCE</v>
          </cell>
          <cell r="D2209" t="str">
            <v>49808413306</v>
          </cell>
          <cell r="E2209" t="str">
            <v>RUE DR. BOISSARIE, 8</v>
          </cell>
          <cell r="F2209">
            <v>65100</v>
          </cell>
          <cell r="G2209" t="str">
            <v>LOURDES</v>
          </cell>
          <cell r="I2209" t="str">
            <v>FRANCIA</v>
          </cell>
        </row>
        <row r="2210">
          <cell r="B2210">
            <v>4007</v>
          </cell>
          <cell r="C2210" t="str">
            <v>SAS SALUS  INFIRMORUM</v>
          </cell>
          <cell r="D2210" t="str">
            <v>28441623998</v>
          </cell>
          <cell r="E2210" t="str">
            <v>10, RUE DU  Dr  BOISSARIE</v>
          </cell>
          <cell r="F2210">
            <v>65100</v>
          </cell>
          <cell r="G2210" t="str">
            <v>LOURDES</v>
          </cell>
          <cell r="I2210" t="str">
            <v>FRANCIA</v>
          </cell>
          <cell r="J2210"/>
        </row>
        <row r="2211">
          <cell r="B2211">
            <v>4669</v>
          </cell>
          <cell r="C2211" t="str">
            <v>SAS SERVICES  UNITALSI</v>
          </cell>
          <cell r="D2211" t="str">
            <v>74808423370</v>
          </cell>
          <cell r="E2211" t="str">
            <v>RUE DE PAU, 42</v>
          </cell>
          <cell r="F2211">
            <v>65100</v>
          </cell>
          <cell r="G2211" t="str">
            <v>LOURDES</v>
          </cell>
          <cell r="I2211" t="str">
            <v>FRANCIA</v>
          </cell>
        </row>
        <row r="2212">
          <cell r="B2212">
            <v>6853</v>
          </cell>
          <cell r="C2212" t="str">
            <v>SASU CAFE  MOKABAR</v>
          </cell>
          <cell r="D2212" t="str">
            <v>22851551234</v>
          </cell>
          <cell r="E2212" t="str">
            <v>27, RUE EMILE DUPORT</v>
          </cell>
          <cell r="F2212">
            <v>69009</v>
          </cell>
          <cell r="G2212" t="str">
            <v>LYON</v>
          </cell>
          <cell r="I2212" t="str">
            <v>FRANCIA</v>
          </cell>
          <cell r="J2212"/>
        </row>
        <row r="2213">
          <cell r="B2213">
            <v>4649</v>
          </cell>
          <cell r="C2213" t="str">
            <v>SASU TARA</v>
          </cell>
          <cell r="D2213" t="str">
            <v>85499425056</v>
          </cell>
          <cell r="E2213" t="str">
            <v>6, AV PEYRAMALE</v>
          </cell>
          <cell r="F2213">
            <v>65100</v>
          </cell>
          <cell r="G2213" t="str">
            <v>LOURDES</v>
          </cell>
          <cell r="I2213" t="str">
            <v>FRANCIA</v>
          </cell>
          <cell r="J2213"/>
        </row>
        <row r="2214">
          <cell r="B2214">
            <v>4708</v>
          </cell>
          <cell r="C2214" t="str">
            <v>SATURNO ITALIA S. R.L.</v>
          </cell>
          <cell r="D2214" t="str">
            <v>02194740995 02194740995</v>
          </cell>
          <cell r="E2214" t="str">
            <v>VIA E.FERRI, 85/C R</v>
          </cell>
          <cell r="F2214">
            <v>16161</v>
          </cell>
          <cell r="G2214" t="str">
            <v>GENOVA</v>
          </cell>
          <cell r="H2214" t="str">
            <v>GE</v>
          </cell>
          <cell r="I2214" t="str">
            <v>ITALIA</v>
          </cell>
          <cell r="J2214" t="str">
            <v>010-8681868</v>
          </cell>
        </row>
        <row r="2215">
          <cell r="B2215">
            <v>1972</v>
          </cell>
          <cell r="C2215" t="str">
            <v>SAVONA GIUSEPPE</v>
          </cell>
          <cell r="D2215" t="str">
            <v>SVNGPP44T24L331 G</v>
          </cell>
          <cell r="E2215" t="str">
            <v>VIA PASTRENGO, 24/B</v>
          </cell>
          <cell r="F2215">
            <v>21054</v>
          </cell>
          <cell r="G2215" t="str">
            <v>FAGNANO OLONA</v>
          </cell>
          <cell r="H2215" t="str">
            <v>VA</v>
          </cell>
          <cell r="I2215" t="str">
            <v>ITALIA</v>
          </cell>
          <cell r="J2215" t="str">
            <v>349-4793724</v>
          </cell>
        </row>
        <row r="2216">
          <cell r="B2216">
            <v>9715</v>
          </cell>
          <cell r="C2216" t="str">
            <v>SAY WOW S.R.L.</v>
          </cell>
          <cell r="E2216" t="str">
            <v>VIA LATTANZIO, 11</v>
          </cell>
          <cell r="F2216">
            <v>20137</v>
          </cell>
          <cell r="G2216" t="str">
            <v>MILANO</v>
          </cell>
          <cell r="H2216" t="str">
            <v>MI</v>
          </cell>
          <cell r="I2216" t="str">
            <v>ITALIA</v>
          </cell>
          <cell r="J2216" t="str">
            <v>346-1032653</v>
          </cell>
        </row>
        <row r="2217">
          <cell r="B2217">
            <v>7147</v>
          </cell>
          <cell r="C2217" t="str">
            <v>SBARAGLI SILVANO</v>
          </cell>
          <cell r="D2217" t="str">
            <v>SBRSVN48C10B592 K</v>
          </cell>
          <cell r="E2217" t="str">
            <v>VIA EUROPA, 15</v>
          </cell>
          <cell r="F2217">
            <v>10048</v>
          </cell>
          <cell r="G2217" t="str">
            <v>VINOVO</v>
          </cell>
          <cell r="H2217" t="str">
            <v>TO</v>
          </cell>
          <cell r="I2217" t="str">
            <v>ITALIA</v>
          </cell>
          <cell r="J2217" t="str">
            <v>333-2907194</v>
          </cell>
        </row>
        <row r="2218">
          <cell r="B2218">
            <v>1794</v>
          </cell>
          <cell r="C2218" t="str">
            <v>SC GENERAL  VENDING RO S.R.L.</v>
          </cell>
          <cell r="D2218" t="str">
            <v>14629753</v>
          </cell>
          <cell r="E2218" t="str">
            <v>STRADA BRADULUI, 3 BL  36, SC A, AP 7</v>
          </cell>
          <cell r="F2218">
            <v>11000</v>
          </cell>
          <cell r="G2218" t="str">
            <v>PITESTI - JUD.  ARGES</v>
          </cell>
          <cell r="I2218" t="str">
            <v>ROMANIA</v>
          </cell>
          <cell r="J2218" t="str">
            <v xml:space="preserve">0040-314255466 </v>
          </cell>
        </row>
        <row r="2219">
          <cell r="B2219">
            <v>6979</v>
          </cell>
          <cell r="C2219" t="str">
            <v>SC. SWISSE COFFEE  SA</v>
          </cell>
          <cell r="D2219" t="str">
            <v>E113500896</v>
          </cell>
          <cell r="E2219" t="str">
            <v>VIA INDUSTRIA, 5</v>
          </cell>
          <cell r="F2219">
            <v>6998</v>
          </cell>
          <cell r="G2219" t="str">
            <v>MONTEGGIO -  SVIZZERA -</v>
          </cell>
          <cell r="I2219" t="str">
            <v>SVIZZERA</v>
          </cell>
          <cell r="J2219"/>
        </row>
        <row r="2220">
          <cell r="B2220">
            <v>7521</v>
          </cell>
          <cell r="C2220" t="str">
            <v>SCAMPINI ISABEL</v>
          </cell>
          <cell r="D2220" t="str">
            <v>SCMSBL92E71E514 X</v>
          </cell>
          <cell r="E2220" t="str">
            <v>VIA TAGLIAMENTO, 12</v>
          </cell>
          <cell r="F2220">
            <v>21055</v>
          </cell>
          <cell r="G2220" t="str">
            <v>GORLA MINORE</v>
          </cell>
          <cell r="H2220" t="str">
            <v>VA</v>
          </cell>
          <cell r="I2220" t="str">
            <v>ITALIA</v>
          </cell>
          <cell r="J2220" t="str">
            <v>340-8792763</v>
          </cell>
        </row>
        <row r="2221">
          <cell r="B2221">
            <v>7259</v>
          </cell>
          <cell r="C2221" t="str">
            <v>SCAPIN LUCIA</v>
          </cell>
          <cell r="D2221" t="str">
            <v>SCPLCU70S49B563 E</v>
          </cell>
          <cell r="E2221" t="str">
            <v>VIA INGHILTERRA 19</v>
          </cell>
          <cell r="F2221">
            <v>35127</v>
          </cell>
          <cell r="G2221" t="str">
            <v>PADOVA</v>
          </cell>
          <cell r="H2221" t="str">
            <v>PD</v>
          </cell>
          <cell r="I2221" t="str">
            <v>ITALIA</v>
          </cell>
          <cell r="J2221" t="str">
            <v>348-5749440</v>
          </cell>
        </row>
        <row r="2222">
          <cell r="B2222">
            <v>7122</v>
          </cell>
          <cell r="C2222" t="str">
            <v>SCARABELLI SIMONE</v>
          </cell>
          <cell r="D2222" t="str">
            <v>SCRSMN85L02M052 X</v>
          </cell>
          <cell r="E2222" t="str">
            <v>VIA LANZI 51</v>
          </cell>
          <cell r="F2222">
            <v>20872</v>
          </cell>
          <cell r="G2222" t="str">
            <v>CORNATE D' ADDA</v>
          </cell>
          <cell r="H2222" t="str">
            <v>MB</v>
          </cell>
          <cell r="I2222" t="str">
            <v>ITALIA</v>
          </cell>
          <cell r="J2222" t="str">
            <v>389-5330279</v>
          </cell>
        </row>
        <row r="2223">
          <cell r="B2223">
            <v>7307</v>
          </cell>
          <cell r="C2223" t="str">
            <v>SCARINCI SERENA</v>
          </cell>
          <cell r="D2223" t="str">
            <v>SCRSRN86L47E205 D</v>
          </cell>
          <cell r="E2223" t="str">
            <v>VIA ARIOSTO 73</v>
          </cell>
          <cell r="F2223">
            <v>74023</v>
          </cell>
          <cell r="G2223" t="str">
            <v>GROTTAGLIE</v>
          </cell>
          <cell r="H2223" t="str">
            <v>TA</v>
          </cell>
          <cell r="I2223" t="str">
            <v>ITALIA</v>
          </cell>
          <cell r="J2223" t="str">
            <v>329-9878669</v>
          </cell>
        </row>
        <row r="2224">
          <cell r="B2224">
            <v>7392</v>
          </cell>
          <cell r="C2224" t="str">
            <v>SCARPINO LUCIA</v>
          </cell>
          <cell r="D2224" t="str">
            <v>SCRMLC91T46I874I</v>
          </cell>
          <cell r="E2224" t="str">
            <v>VIA PROVINCIALE 53</v>
          </cell>
          <cell r="F2224">
            <v>87050</v>
          </cell>
          <cell r="G2224" t="str">
            <v>BIANCHI</v>
          </cell>
          <cell r="H2224" t="str">
            <v>CS</v>
          </cell>
          <cell r="I2224" t="str">
            <v>ITALIA</v>
          </cell>
          <cell r="J2224" t="str">
            <v>389-6507788</v>
          </cell>
        </row>
        <row r="2225">
          <cell r="B2225">
            <v>7446</v>
          </cell>
          <cell r="C2225" t="str">
            <v>SCATTOLA MARIA</v>
          </cell>
          <cell r="D2225" t="str">
            <v>SCTMRA41H65H501 K</v>
          </cell>
          <cell r="E2225" t="str">
            <v>VIA FRANCESCO DE  SANCTIS, 69</v>
          </cell>
          <cell r="F2225">
            <v>20141</v>
          </cell>
          <cell r="G2225" t="str">
            <v>MILANO</v>
          </cell>
          <cell r="H2225" t="str">
            <v>MI</v>
          </cell>
          <cell r="I2225" t="str">
            <v>ITALIA</v>
          </cell>
          <cell r="J2225" t="str">
            <v>335-6164060</v>
          </cell>
        </row>
        <row r="2226">
          <cell r="B2226">
            <v>6987</v>
          </cell>
          <cell r="C2226" t="str">
            <v>SCHETTINO MARIA  ROSARIA</v>
          </cell>
          <cell r="D2226" t="str">
            <v>SCHMRS91A43L845 U</v>
          </cell>
          <cell r="E2226" t="str">
            <v>VIA RABIN, 5</v>
          </cell>
          <cell r="F2226">
            <v>42023</v>
          </cell>
          <cell r="G2226" t="str">
            <v>CADELBOSCO  DI SOTTO</v>
          </cell>
          <cell r="H2226" t="str">
            <v>RE</v>
          </cell>
          <cell r="I2226" t="str">
            <v>ITALIA</v>
          </cell>
          <cell r="J2226" t="str">
            <v>348-5994923</v>
          </cell>
        </row>
        <row r="2227">
          <cell r="B2227">
            <v>7505</v>
          </cell>
          <cell r="C2227" t="str">
            <v>SCHWARZ STEFANIE</v>
          </cell>
          <cell r="D2227" t="str">
            <v>SCHSFN90M45F132 O</v>
          </cell>
          <cell r="E2227" t="str">
            <v>VIA GALILEO GALILEI, 12</v>
          </cell>
          <cell r="F2227">
            <v>39012</v>
          </cell>
          <cell r="G2227" t="str">
            <v>MERANO</v>
          </cell>
          <cell r="H2227" t="str">
            <v>BZ</v>
          </cell>
          <cell r="I2227" t="str">
            <v>ITALIA</v>
          </cell>
          <cell r="J2227" t="str">
            <v>340-6406931</v>
          </cell>
        </row>
        <row r="2228">
          <cell r="B2228">
            <v>3714</v>
          </cell>
          <cell r="C2228" t="str">
            <v>SCORRANO  WILLIAM</v>
          </cell>
          <cell r="D2228" t="str">
            <v>01565670096 SCRWLM82E05B885 O</v>
          </cell>
          <cell r="E2228" t="str">
            <v>VIA CANTONE CERRETO,  44 SANTA MARIA DEL TEMPIO</v>
          </cell>
          <cell r="F2228">
            <v>15033</v>
          </cell>
          <cell r="G2228" t="str">
            <v>CASALE  MONFERRATO</v>
          </cell>
          <cell r="H2228" t="str">
            <v>AL</v>
          </cell>
          <cell r="I2228" t="str">
            <v>ITALIA</v>
          </cell>
          <cell r="J2228" t="str">
            <v>333-7513601</v>
          </cell>
        </row>
        <row r="2229">
          <cell r="B2229">
            <v>4339</v>
          </cell>
          <cell r="C2229" t="str">
            <v>SCORRANO  WILLIAM E COPPOLA  SIMONE S.N.C.</v>
          </cell>
          <cell r="D2229" t="str">
            <v>02398190062 02398190062</v>
          </cell>
          <cell r="E2229" t="str">
            <v>VIA CANTONE CERRETO</v>
          </cell>
          <cell r="F2229">
            <v>15033</v>
          </cell>
          <cell r="G2229" t="str">
            <v>CASALE  MONFERRATO</v>
          </cell>
          <cell r="H2229" t="str">
            <v>AL</v>
          </cell>
          <cell r="I2229" t="str">
            <v>ITALIA</v>
          </cell>
          <cell r="J2229" t="str">
            <v>333-7513601</v>
          </cell>
        </row>
        <row r="2230">
          <cell r="B2230">
            <v>7077</v>
          </cell>
          <cell r="C2230" t="str">
            <v>SCORTICHINI  DANIELE</v>
          </cell>
          <cell r="D2230" t="str">
            <v>SCRDNL82S08G478 T</v>
          </cell>
          <cell r="E2230" t="str">
            <v>VIA ALDO MANNA, 83</v>
          </cell>
          <cell r="F2230">
            <v>6132</v>
          </cell>
          <cell r="G2230" t="str">
            <v>PERUGIA</v>
          </cell>
          <cell r="H2230" t="str">
            <v>PG</v>
          </cell>
          <cell r="I2230" t="str">
            <v>ITALIA</v>
          </cell>
          <cell r="J2230" t="str">
            <v>340-6728694</v>
          </cell>
        </row>
        <row r="2231">
          <cell r="B2231">
            <v>1870</v>
          </cell>
          <cell r="C2231" t="str">
            <v>SCOZIA RAFFAELE</v>
          </cell>
          <cell r="D2231" t="str">
            <v>SCZRFL54P29A662 R</v>
          </cell>
          <cell r="E2231" t="str">
            <v>VIA A. MORO, 15</v>
          </cell>
          <cell r="F2231">
            <v>20060</v>
          </cell>
          <cell r="G2231" t="str">
            <v>COLTURANO</v>
          </cell>
          <cell r="H2231" t="str">
            <v>MI</v>
          </cell>
          <cell r="I2231" t="str">
            <v>ITALIA</v>
          </cell>
          <cell r="J2231" t="str">
            <v xml:space="preserve">02-98237587 </v>
          </cell>
        </row>
        <row r="2232">
          <cell r="B2232">
            <v>7262</v>
          </cell>
          <cell r="C2232" t="str">
            <v>SCRIBONI DIEGO</v>
          </cell>
          <cell r="D2232" t="str">
            <v>SCRDGI90S30E783 R</v>
          </cell>
          <cell r="E2232" t="str">
            <v>VIA FIASTRA 107</v>
          </cell>
          <cell r="F2232">
            <v>62020</v>
          </cell>
          <cell r="G2232" t="str">
            <v>COLMURANO</v>
          </cell>
          <cell r="H2232" t="str">
            <v>MC</v>
          </cell>
          <cell r="I2232" t="str">
            <v>ITALIA</v>
          </cell>
          <cell r="J2232" t="str">
            <v>348-1681306</v>
          </cell>
        </row>
        <row r="2233">
          <cell r="B2233">
            <v>3729</v>
          </cell>
          <cell r="C2233" t="str">
            <v>SCROFANI  AMBROGIO</v>
          </cell>
          <cell r="D2233" t="str">
            <v>09525990017 SCRMRG50A07G28 8N</v>
          </cell>
          <cell r="E2233" t="str">
            <v>CORSO SIRACUSA, 176</v>
          </cell>
          <cell r="F2233">
            <v>10136</v>
          </cell>
          <cell r="G2233" t="str">
            <v>TORINO</v>
          </cell>
          <cell r="H2233" t="str">
            <v>TO</v>
          </cell>
          <cell r="I2233" t="str">
            <v>ITALIA</v>
          </cell>
          <cell r="J2233" t="str">
            <v>335-8331823</v>
          </cell>
        </row>
        <row r="2234">
          <cell r="B2234">
            <v>4559</v>
          </cell>
          <cell r="C2234" t="str">
            <v>SCUOLA DELL' INFANZIA "DON  TONUS"</v>
          </cell>
          <cell r="D2234" t="str">
            <v>05568290018 05568290018</v>
          </cell>
          <cell r="E2234" t="str">
            <v>VIA SAN FRANCESCO D' ASSISI, 24</v>
          </cell>
          <cell r="F2234">
            <v>10078</v>
          </cell>
          <cell r="G2234" t="str">
            <v>VENARIA REALE</v>
          </cell>
          <cell r="H2234" t="str">
            <v>TO</v>
          </cell>
          <cell r="I2234" t="str">
            <v>ITALIA</v>
          </cell>
          <cell r="J2234" t="str">
            <v xml:space="preserve">011-4520812 </v>
          </cell>
        </row>
        <row r="2235">
          <cell r="B2235">
            <v>7354</v>
          </cell>
          <cell r="C2235" t="str">
            <v>SECCHI CARLO</v>
          </cell>
          <cell r="D2235" t="str">
            <v>SCCCLF38H01A940 K</v>
          </cell>
          <cell r="E2235" t="str">
            <v>VIA STATALE 58 -  CONDOMINIO GEMELLI 1</v>
          </cell>
          <cell r="F2235">
            <v>13028</v>
          </cell>
          <cell r="G2235" t="str">
            <v>SCOPELLO</v>
          </cell>
          <cell r="H2235" t="str">
            <v>VC</v>
          </cell>
          <cell r="I2235" t="str">
            <v>ITALIA</v>
          </cell>
          <cell r="J2235" t="str">
            <v>347-5414430</v>
          </cell>
        </row>
        <row r="2236">
          <cell r="B2236">
            <v>7358</v>
          </cell>
          <cell r="C2236" t="str">
            <v>SECUR MILAN SRL</v>
          </cell>
          <cell r="D2236" t="str">
            <v>11146140154</v>
          </cell>
          <cell r="E2236" t="str">
            <v>VIA TREVES 72</v>
          </cell>
          <cell r="F2236">
            <v>20090</v>
          </cell>
          <cell r="G2236" t="str">
            <v>TREZZANO S/N</v>
          </cell>
          <cell r="H2236" t="str">
            <v>MI</v>
          </cell>
          <cell r="I2236" t="str">
            <v>ITALIA</v>
          </cell>
          <cell r="J2236" t="str">
            <v>333-8661773</v>
          </cell>
        </row>
        <row r="2237">
          <cell r="B2237">
            <v>6692</v>
          </cell>
          <cell r="C2237" t="str">
            <v>SECURITY CENTER  DI ANNA CUNA</v>
          </cell>
          <cell r="D2237" t="str">
            <v>04586770754 CNUNNA69D62E506 L</v>
          </cell>
          <cell r="E2237" t="str">
            <v>VIA SAN CESARIO, 127/A</v>
          </cell>
          <cell r="F2237">
            <v>73100</v>
          </cell>
          <cell r="G2237" t="str">
            <v>LECCE</v>
          </cell>
          <cell r="H2237" t="str">
            <v>LE</v>
          </cell>
          <cell r="I2237" t="str">
            <v>ITALIA</v>
          </cell>
          <cell r="J2237" t="str">
            <v>331-9990474</v>
          </cell>
        </row>
        <row r="2238">
          <cell r="B2238">
            <v>1761</v>
          </cell>
          <cell r="C2238" t="str">
            <v>SEDIMA S.N.C. DI  SERGIO POZZETTI &amp;  C.</v>
          </cell>
          <cell r="D2238" t="str">
            <v>02662780135 02662780135</v>
          </cell>
          <cell r="E2238" t="str">
            <v>LARGO CARADOSSO, 6</v>
          </cell>
          <cell r="F2238">
            <v>22100</v>
          </cell>
          <cell r="G2238" t="str">
            <v>COMO</v>
          </cell>
          <cell r="H2238" t="str">
            <v>CO</v>
          </cell>
          <cell r="I2238" t="str">
            <v>ITALIA</v>
          </cell>
          <cell r="J2238" t="str">
            <v>031-541774</v>
          </cell>
        </row>
        <row r="2239">
          <cell r="B2239">
            <v>3938</v>
          </cell>
          <cell r="C2239" t="str">
            <v>SEL MATIC S.N.C.  DI BERNARDINI  TIZIANO</v>
          </cell>
          <cell r="D2239" t="str">
            <v>04357881004 04357881004</v>
          </cell>
          <cell r="E2239" t="str">
            <v>VIA ARRIGO CAVAGLIERI, 26</v>
          </cell>
          <cell r="F2239">
            <v>178</v>
          </cell>
          <cell r="G2239" t="str">
            <v>ROMA</v>
          </cell>
          <cell r="H2239" t="str">
            <v>RM</v>
          </cell>
          <cell r="I2239" t="str">
            <v>ITALIA</v>
          </cell>
          <cell r="J2239" t="str">
            <v>392-5333990</v>
          </cell>
        </row>
        <row r="2240">
          <cell r="B2240">
            <v>1914</v>
          </cell>
          <cell r="C2240" t="str">
            <v>SELETTA DI  SOFIA C.</v>
          </cell>
          <cell r="D2240" t="str">
            <v>04039170966 SFOCNA67M10Z112 T</v>
          </cell>
          <cell r="E2240" t="str">
            <v>VIA PASUBIO,24/H</v>
          </cell>
          <cell r="F2240">
            <v>20025</v>
          </cell>
          <cell r="G2240" t="str">
            <v>LEGNANO</v>
          </cell>
          <cell r="H2240" t="str">
            <v>MI</v>
          </cell>
          <cell r="I2240" t="str">
            <v>ITALIA</v>
          </cell>
          <cell r="J2240" t="str">
            <v>0331-452460</v>
          </cell>
        </row>
        <row r="2241">
          <cell r="B2241">
            <v>4405</v>
          </cell>
          <cell r="C2241" t="str">
            <v xml:space="preserve">SELF 24 di REGINA  GIANFRANCO </v>
          </cell>
          <cell r="D2241" t="str">
            <v>01581670088 RGNGFR62D05Z110 E</v>
          </cell>
          <cell r="E2241" t="str">
            <v>VIA COL. APROSIO, 245</v>
          </cell>
          <cell r="F2241">
            <v>18019</v>
          </cell>
          <cell r="G2241" t="str">
            <v>VALLECROSIA</v>
          </cell>
          <cell r="H2241" t="str">
            <v>IM</v>
          </cell>
          <cell r="I2241" t="str">
            <v>ITALIA</v>
          </cell>
          <cell r="J2241" t="str">
            <v>334-9042987</v>
          </cell>
        </row>
        <row r="2242">
          <cell r="B2242">
            <v>6676</v>
          </cell>
          <cell r="C2242" t="str">
            <v>SELF 24 DI STEFANO  RAMOS</v>
          </cell>
          <cell r="D2242" t="str">
            <v>01353250085</v>
          </cell>
          <cell r="E2242" t="str">
            <v>CORSO GARIBALDI, 20</v>
          </cell>
          <cell r="F2242">
            <v>18038</v>
          </cell>
          <cell r="G2242" t="str">
            <v>SANREMO</v>
          </cell>
          <cell r="H2242" t="str">
            <v>IM</v>
          </cell>
          <cell r="I2242" t="str">
            <v>ITALIA</v>
          </cell>
          <cell r="J2242" t="str">
            <v>348-3123027</v>
          </cell>
        </row>
        <row r="2243">
          <cell r="B2243">
            <v>4201</v>
          </cell>
          <cell r="C2243" t="str">
            <v>SELF REFRESH DI  BRUNETTI BRUNO</v>
          </cell>
          <cell r="D2243" t="str">
            <v>10134730018 BRNBRN58M01A479 F</v>
          </cell>
          <cell r="E2243" t="str">
            <v>CORSO PALERMO, 119/C</v>
          </cell>
          <cell r="F2243">
            <v>10154</v>
          </cell>
          <cell r="G2243" t="str">
            <v>TORINO</v>
          </cell>
          <cell r="H2243" t="str">
            <v>TO</v>
          </cell>
          <cell r="I2243" t="str">
            <v>ITALIA</v>
          </cell>
          <cell r="J2243" t="str">
            <v>339-1292537</v>
          </cell>
        </row>
        <row r="2244">
          <cell r="B2244">
            <v>10234</v>
          </cell>
          <cell r="C2244" t="str">
            <v>SELF VENDING SRL</v>
          </cell>
          <cell r="E2244" t="str">
            <v>STRADA PROVINCIALE , 13 PER CERESANA</v>
          </cell>
          <cell r="F2244">
            <v>34015</v>
          </cell>
          <cell r="G2244" t="str">
            <v>MUGGIA</v>
          </cell>
          <cell r="H2244" t="str">
            <v>TS</v>
          </cell>
          <cell r="I2244" t="str">
            <v>ITALIA</v>
          </cell>
          <cell r="J2244">
            <v>409235341</v>
          </cell>
        </row>
        <row r="2245">
          <cell r="B2245">
            <v>6449</v>
          </cell>
          <cell r="C2245" t="str">
            <v>SELFIE S.N.C.</v>
          </cell>
          <cell r="D2245" t="str">
            <v>11058640019 11058640019</v>
          </cell>
          <cell r="E2245" t="str">
            <v>VIA MATTEO BARTOLI, 4</v>
          </cell>
          <cell r="F2245">
            <v>10135</v>
          </cell>
          <cell r="G2245" t="str">
            <v>TORINO</v>
          </cell>
          <cell r="H2245" t="str">
            <v>TO</v>
          </cell>
          <cell r="I2245" t="str">
            <v>ITALIA</v>
          </cell>
          <cell r="J2245" t="str">
            <v>393-1696224</v>
          </cell>
        </row>
        <row r="2246">
          <cell r="B2246">
            <v>1464</v>
          </cell>
          <cell r="C2246" t="str">
            <v>SELF-WASH S.N.C.  DI ANDREINA  MONTANI E C.</v>
          </cell>
          <cell r="D2246" t="str">
            <v>01624840037</v>
          </cell>
          <cell r="E2246" t="str">
            <v>VIA B. GAMBARO, 48</v>
          </cell>
          <cell r="F2246">
            <v>28068</v>
          </cell>
          <cell r="G2246" t="str">
            <v>ROMENTINO</v>
          </cell>
          <cell r="H2246" t="str">
            <v>NO</v>
          </cell>
          <cell r="I2246" t="str">
            <v>ITALIA</v>
          </cell>
          <cell r="J2246" t="str">
            <v>0321-864841</v>
          </cell>
        </row>
        <row r="2247">
          <cell r="B2247">
            <v>7097</v>
          </cell>
          <cell r="C2247" t="str">
            <v>SELLA LEASING S.P. A.</v>
          </cell>
          <cell r="D2247" t="str">
            <v>02675650028 00528570021</v>
          </cell>
          <cell r="E2247" t="str">
            <v>VIA ITALIA, 2</v>
          </cell>
          <cell r="F2247">
            <v>13900</v>
          </cell>
          <cell r="G2247" t="str">
            <v>BIELLA</v>
          </cell>
          <cell r="H2247" t="str">
            <v>BI</v>
          </cell>
          <cell r="I2247" t="str">
            <v>ITALIA</v>
          </cell>
          <cell r="J2247" t="str">
            <v>015-2528811</v>
          </cell>
        </row>
        <row r="2248">
          <cell r="B2248">
            <v>9869</v>
          </cell>
          <cell r="C2248" t="str">
            <v>SELLMAT</v>
          </cell>
          <cell r="E2248" t="str">
            <v>VIA G. MATTEOTTI, 102</v>
          </cell>
          <cell r="F2248">
            <v>28077</v>
          </cell>
          <cell r="G2248" t="str">
            <v>PRATO SESIA</v>
          </cell>
          <cell r="H2248" t="str">
            <v>NO</v>
          </cell>
          <cell r="I2248" t="str">
            <v>ITALIA</v>
          </cell>
          <cell r="J2248" t="str">
            <v>0163-850121</v>
          </cell>
        </row>
        <row r="2249">
          <cell r="B2249">
            <v>7021</v>
          </cell>
          <cell r="C2249" t="str">
            <v>SELLONE TIZIANA</v>
          </cell>
          <cell r="D2249" t="str">
            <v>SLLTZN74R61E463N</v>
          </cell>
          <cell r="E2249" t="str">
            <v>VIA LATISANA, 73</v>
          </cell>
          <cell r="F2249">
            <v>177</v>
          </cell>
          <cell r="G2249" t="str">
            <v>ROMA</v>
          </cell>
          <cell r="H2249" t="str">
            <v>RM</v>
          </cell>
          <cell r="I2249" t="str">
            <v>ITALIA</v>
          </cell>
          <cell r="J2249" t="str">
            <v>347-8061386</v>
          </cell>
        </row>
        <row r="2250">
          <cell r="B2250">
            <v>1002</v>
          </cell>
          <cell r="C2250" t="str">
            <v>SELMABIPIEMME  LEASING S.P.A.</v>
          </cell>
          <cell r="D2250" t="str">
            <v>00882980154 00882980154</v>
          </cell>
          <cell r="E2250" t="str">
            <v>VIA BATTISTOTTI SASSI,  11/A</v>
          </cell>
          <cell r="F2250">
            <v>20133</v>
          </cell>
          <cell r="G2250" t="str">
            <v>MILANO</v>
          </cell>
          <cell r="H2250" t="str">
            <v>MI</v>
          </cell>
          <cell r="I2250" t="str">
            <v>ITALIA</v>
          </cell>
          <cell r="J2250" t="str">
            <v xml:space="preserve">02-748221 </v>
          </cell>
        </row>
        <row r="2251">
          <cell r="B2251">
            <v>6899</v>
          </cell>
          <cell r="C2251" t="str">
            <v>SEMPIONE S.R.L.</v>
          </cell>
          <cell r="D2251" t="str">
            <v>09464240960</v>
          </cell>
          <cell r="E2251" t="str">
            <v>CORSO SEMPIONE, 65</v>
          </cell>
          <cell r="F2251">
            <v>20149</v>
          </cell>
          <cell r="G2251" t="str">
            <v>MILANO</v>
          </cell>
          <cell r="H2251" t="str">
            <v>MI</v>
          </cell>
          <cell r="I2251" t="str">
            <v>ITALIA</v>
          </cell>
          <cell r="J2251" t="str">
            <v>333-1005758</v>
          </cell>
        </row>
        <row r="2252">
          <cell r="B2252">
            <v>7052</v>
          </cell>
          <cell r="C2252" t="str">
            <v>SERGIO RAFFAELE</v>
          </cell>
          <cell r="D2252" t="str">
            <v>SRGRFL83C22H703 U</v>
          </cell>
          <cell r="E2252" t="str">
            <v>CORSO UMBERTO I, 38</v>
          </cell>
          <cell r="F2252">
            <v>84019</v>
          </cell>
          <cell r="G2252" t="str">
            <v>VIETRI SUL MARE</v>
          </cell>
          <cell r="H2252" t="str">
            <v>SA</v>
          </cell>
          <cell r="I2252" t="str">
            <v>ITALIA</v>
          </cell>
          <cell r="J2252" t="str">
            <v>393-5689260</v>
          </cell>
        </row>
        <row r="2253">
          <cell r="B2253">
            <v>2266</v>
          </cell>
          <cell r="C2253" t="str">
            <v>SERICANO MICHELE</v>
          </cell>
          <cell r="D2253" t="str">
            <v>02104720061 SRCMHL75P16H212 D</v>
          </cell>
          <cell r="E2253" t="str">
            <v>CASALE PIEVE, 2</v>
          </cell>
          <cell r="F2253">
            <v>15060</v>
          </cell>
          <cell r="G2253" t="str">
            <v>SILVANO D'ORBA</v>
          </cell>
          <cell r="H2253" t="str">
            <v>AL</v>
          </cell>
          <cell r="I2253" t="str">
            <v>ITALIA</v>
          </cell>
          <cell r="J2253" t="str">
            <v xml:space="preserve">349-4052924 </v>
          </cell>
        </row>
        <row r="2254">
          <cell r="B2254">
            <v>5282</v>
          </cell>
          <cell r="C2254" t="str">
            <v>SERIDA S.R.L.</v>
          </cell>
          <cell r="D2254" t="str">
            <v>00855950010 00855950010</v>
          </cell>
          <cell r="E2254" t="str">
            <v>VIA CHIESA DELLA  SALUTE, 46</v>
          </cell>
          <cell r="F2254">
            <v>10100</v>
          </cell>
          <cell r="G2254" t="str">
            <v>TORINO</v>
          </cell>
          <cell r="H2254" t="str">
            <v>TO</v>
          </cell>
          <cell r="I2254" t="str">
            <v>ITALIA</v>
          </cell>
          <cell r="J2254" t="str">
            <v xml:space="preserve">011-4076063 </v>
          </cell>
        </row>
        <row r="2255">
          <cell r="B2255">
            <v>2632</v>
          </cell>
          <cell r="C2255" t="str">
            <v>SERIM  S.R.L.</v>
          </cell>
          <cell r="D2255" t="str">
            <v>00801920166 00801920166</v>
          </cell>
          <cell r="E2255" t="str">
            <v>VIA TORQUATO TASSO, 5</v>
          </cell>
          <cell r="F2255">
            <v>24030</v>
          </cell>
          <cell r="G2255" t="str">
            <v>PALADINA</v>
          </cell>
          <cell r="H2255" t="str">
            <v>BG</v>
          </cell>
          <cell r="I2255" t="str">
            <v>ITALIA</v>
          </cell>
          <cell r="J2255" t="str">
            <v xml:space="preserve">02-9250391 </v>
          </cell>
        </row>
        <row r="2256">
          <cell r="B2256">
            <v>4746</v>
          </cell>
          <cell r="C2256" t="str">
            <v>SERMAR DI  BORTOLUSSI</v>
          </cell>
          <cell r="D2256" t="str">
            <v>08606690017 08606690017</v>
          </cell>
          <cell r="E2256" t="str">
            <v>CORSO FRANCIA, 124</v>
          </cell>
          <cell r="F2256">
            <v>10098</v>
          </cell>
          <cell r="G2256" t="str">
            <v>RIVOLI</v>
          </cell>
          <cell r="H2256" t="str">
            <v>TO</v>
          </cell>
          <cell r="I2256" t="str">
            <v>ITALIA</v>
          </cell>
          <cell r="J2256" t="str">
            <v>342-0701341</v>
          </cell>
        </row>
        <row r="2257">
          <cell r="B2257">
            <v>4192</v>
          </cell>
          <cell r="C2257" t="str">
            <v>SERVICE COOP.  COOP. SOC.</v>
          </cell>
          <cell r="D2257" t="str">
            <v>07546580965 07546580965</v>
          </cell>
          <cell r="E2257" t="str">
            <v>VIA CURIEL, 33</v>
          </cell>
          <cell r="F2257">
            <v>20017</v>
          </cell>
          <cell r="G2257" t="str">
            <v>RHO</v>
          </cell>
          <cell r="H2257" t="str">
            <v>MI</v>
          </cell>
          <cell r="I2257" t="str">
            <v>ITALIA</v>
          </cell>
          <cell r="J2257" t="str">
            <v>02-93782212</v>
          </cell>
        </row>
        <row r="2258">
          <cell r="B2258">
            <v>4343</v>
          </cell>
          <cell r="C2258" t="str">
            <v>SERVISCALLE S.R.L.</v>
          </cell>
          <cell r="D2258" t="str">
            <v>03317650129 03317650129</v>
          </cell>
          <cell r="E2258" t="str">
            <v>VIA PETRARCA, 11</v>
          </cell>
          <cell r="F2258">
            <v>21040</v>
          </cell>
          <cell r="G2258" t="str">
            <v>VENEGONO  INFERIORE</v>
          </cell>
          <cell r="H2258" t="str">
            <v>VA</v>
          </cell>
          <cell r="I2258" t="str">
            <v>ITALIA</v>
          </cell>
          <cell r="J2258" t="str">
            <v>392-1003954</v>
          </cell>
        </row>
        <row r="2259">
          <cell r="B2259">
            <v>4813</v>
          </cell>
          <cell r="C2259" t="str">
            <v>SERVIZI ALLE  IMPRESE S.R.L.</v>
          </cell>
          <cell r="D2259" t="str">
            <v>03365770126 03365770126</v>
          </cell>
          <cell r="E2259" t="str">
            <v>VIA BORGHI, 8</v>
          </cell>
          <cell r="F2259">
            <v>21013</v>
          </cell>
          <cell r="G2259" t="str">
            <v>GALLARATE</v>
          </cell>
          <cell r="H2259" t="str">
            <v>VA</v>
          </cell>
          <cell r="I2259" t="str">
            <v>ITALIA</v>
          </cell>
          <cell r="J2259" t="str">
            <v>334-2901546</v>
          </cell>
        </row>
        <row r="2260">
          <cell r="B2260">
            <v>4422</v>
          </cell>
          <cell r="C2260" t="str">
            <v>SERVIZIOCAFFE' DI  SCANU MICHELE</v>
          </cell>
          <cell r="D2260" t="str">
            <v>11008180017 SCNMHL67R20B274 Z</v>
          </cell>
          <cell r="E2260" t="str">
            <v>VIA DANEO, 35</v>
          </cell>
          <cell r="F2260">
            <v>10060</v>
          </cell>
          <cell r="G2260" t="str">
            <v>BRICHERASIO</v>
          </cell>
          <cell r="H2260" t="str">
            <v>TO</v>
          </cell>
          <cell r="I2260" t="str">
            <v>ITALIA</v>
          </cell>
          <cell r="J2260" t="str">
            <v>370-1045143</v>
          </cell>
        </row>
        <row r="2261">
          <cell r="B2261">
            <v>4017</v>
          </cell>
          <cell r="C2261" t="str">
            <v>SERVOMATIC DI  MANFREDI SIMONA</v>
          </cell>
          <cell r="D2261" t="str">
            <v>02414410189 MNFSMN86T70M109 R</v>
          </cell>
          <cell r="E2261" t="str">
            <v>STRADA CASALNOCETO, 12</v>
          </cell>
          <cell r="F2261">
            <v>15059</v>
          </cell>
          <cell r="G2261" t="str">
            <v>VOLPEDO</v>
          </cell>
          <cell r="H2261" t="str">
            <v>AL</v>
          </cell>
          <cell r="I2261" t="str">
            <v>ITALIA</v>
          </cell>
          <cell r="J2261" t="str">
            <v xml:space="preserve">333-4962496 </v>
          </cell>
        </row>
        <row r="2262">
          <cell r="B2262">
            <v>4651</v>
          </cell>
          <cell r="C2262" t="str">
            <v>SESAEL SAGL</v>
          </cell>
          <cell r="D2262" t="str">
            <v>112332946</v>
          </cell>
          <cell r="E2262" t="str">
            <v>VIA E. DUNANT, 17</v>
          </cell>
          <cell r="F2262">
            <v>6850</v>
          </cell>
          <cell r="G2262" t="str">
            <v>MENDRISIO -  SVIZZERA -</v>
          </cell>
          <cell r="I2262" t="str">
            <v>SVIZZERA</v>
          </cell>
          <cell r="J2262"/>
        </row>
        <row r="2263">
          <cell r="B2263">
            <v>6967</v>
          </cell>
          <cell r="C2263" t="str">
            <v>SESTRI CAFFE' DI  MANNONI SIMONA</v>
          </cell>
          <cell r="D2263" t="str">
            <v>02625770991 MNNSMN71C62D96 9D</v>
          </cell>
          <cell r="E2263" t="str">
            <v>VIA M. CERRUTI, 24  CANC.</v>
          </cell>
          <cell r="F2263">
            <v>16154</v>
          </cell>
          <cell r="G2263" t="str">
            <v>GENOVA</v>
          </cell>
          <cell r="H2263" t="str">
            <v>GE</v>
          </cell>
          <cell r="I2263" t="str">
            <v>ITALIA</v>
          </cell>
          <cell r="J2263" t="str">
            <v>348-2509966</v>
          </cell>
        </row>
        <row r="2264">
          <cell r="B2264">
            <v>4563</v>
          </cell>
          <cell r="C2264" t="str">
            <v>SETTIMO 24 S.A.S.  DI AUTERI  GIUSEPPE &amp; C.</v>
          </cell>
          <cell r="D2264" t="str">
            <v>11168590013 11168590013</v>
          </cell>
          <cell r="E2264" t="str">
            <v>VIA TORINO, 29</v>
          </cell>
          <cell r="F2264">
            <v>10036</v>
          </cell>
          <cell r="G2264" t="str">
            <v>SETTIMO  TORINESE</v>
          </cell>
          <cell r="H2264" t="str">
            <v>TO</v>
          </cell>
          <cell r="I2264" t="str">
            <v>ITALIA</v>
          </cell>
          <cell r="J2264" t="str">
            <v>349-1509808</v>
          </cell>
        </row>
        <row r="2265">
          <cell r="B2265">
            <v>7149</v>
          </cell>
          <cell r="C2265" t="str">
            <v>SETZU VIVIANA</v>
          </cell>
          <cell r="D2265" t="str">
            <v>STZVVN81M45H856 R</v>
          </cell>
          <cell r="E2265" t="str">
            <v>VIA ROMA 321</v>
          </cell>
          <cell r="F2265">
            <v>9039</v>
          </cell>
          <cell r="G2265" t="str">
            <v>VILLACIDRO</v>
          </cell>
          <cell r="H2265" t="str">
            <v>SU</v>
          </cell>
          <cell r="I2265" t="str">
            <v>ITALIA</v>
          </cell>
          <cell r="J2265" t="str">
            <v>349-5023368</v>
          </cell>
        </row>
        <row r="2266">
          <cell r="B2266">
            <v>6516</v>
          </cell>
          <cell r="C2266" t="str">
            <v>SEVAS DI TOSKA  IRGEN</v>
          </cell>
          <cell r="D2266" t="str">
            <v>02536550037 TSKRGN85C21Z100 G</v>
          </cell>
          <cell r="E2266" t="str">
            <v>VIA CAVALLOTTI, 1</v>
          </cell>
          <cell r="F2266">
            <v>28069</v>
          </cell>
          <cell r="G2266" t="str">
            <v>TRECATE</v>
          </cell>
          <cell r="H2266" t="str">
            <v>NO</v>
          </cell>
          <cell r="I2266" t="str">
            <v>ITALIA</v>
          </cell>
          <cell r="J2266" t="str">
            <v>342-3938360</v>
          </cell>
        </row>
        <row r="2267">
          <cell r="B2267">
            <v>7636</v>
          </cell>
          <cell r="C2267" t="str">
            <v>SEVAS S.R.L.</v>
          </cell>
          <cell r="E2267" t="str">
            <v>VIA SAN CASSIANO, 120</v>
          </cell>
          <cell r="F2267">
            <v>28069</v>
          </cell>
          <cell r="G2267" t="str">
            <v>TRECATE</v>
          </cell>
          <cell r="H2267" t="str">
            <v>NO</v>
          </cell>
          <cell r="I2267" t="str">
            <v>ITALIA</v>
          </cell>
        </row>
        <row r="2268">
          <cell r="B2268">
            <v>5905</v>
          </cell>
          <cell r="C2268" t="str">
            <v>SEVEN AND SEVEN  DI CAPITANI FELICE</v>
          </cell>
          <cell r="D2268" t="str">
            <v>07270200012 CPTFLC59S25G674 B</v>
          </cell>
          <cell r="E2268" t="str">
            <v>VIA MARTIRI DELLA  LIBERTA', 101</v>
          </cell>
          <cell r="F2268">
            <v>10060</v>
          </cell>
          <cell r="G2268" t="str">
            <v>OSASCO</v>
          </cell>
          <cell r="H2268" t="str">
            <v>TO</v>
          </cell>
          <cell r="I2268" t="str">
            <v>ITALIA</v>
          </cell>
          <cell r="J2268" t="str">
            <v xml:space="preserve">0121-541087 </v>
          </cell>
        </row>
        <row r="2269">
          <cell r="B2269">
            <v>7194</v>
          </cell>
          <cell r="C2269" t="str">
            <v>SGAVASSI MARCO</v>
          </cell>
          <cell r="D2269" t="str">
            <v>SGVMRC86D23A01 0Q</v>
          </cell>
          <cell r="E2269" t="str">
            <v>VIA AMENDOLA, 31</v>
          </cell>
          <cell r="F2269">
            <v>20081</v>
          </cell>
          <cell r="G2269" t="str">
            <v>ABBIATEGRASSO</v>
          </cell>
          <cell r="H2269" t="str">
            <v>MI</v>
          </cell>
          <cell r="I2269" t="str">
            <v>ITALIA</v>
          </cell>
          <cell r="J2269" t="str">
            <v>327-5984640</v>
          </cell>
        </row>
        <row r="2270">
          <cell r="B2270">
            <v>7772</v>
          </cell>
          <cell r="C2270" t="str">
            <v>SHADOW S.R.L.</v>
          </cell>
          <cell r="E2270" t="str">
            <v>VIA GIACOMO PUCCINI</v>
          </cell>
          <cell r="F2270">
            <v>20143</v>
          </cell>
          <cell r="G2270" t="str">
            <v>CASARILE</v>
          </cell>
          <cell r="H2270" t="str">
            <v>MI</v>
          </cell>
          <cell r="I2270" t="str">
            <v>ITALIA</v>
          </cell>
          <cell r="J2270" t="str">
            <v xml:space="preserve">02-89125505 </v>
          </cell>
        </row>
        <row r="2271">
          <cell r="B2271">
            <v>4356</v>
          </cell>
          <cell r="C2271" t="str">
            <v>SHASA S.A.S. DI  POZZAN MAURIZIO &amp; C.</v>
          </cell>
          <cell r="D2271" t="str">
            <v>02589880125 02589880125</v>
          </cell>
          <cell r="E2271" t="str">
            <v>VIA CARONNO VARESINO, 81</v>
          </cell>
          <cell r="F2271">
            <v>21040</v>
          </cell>
          <cell r="G2271" t="str">
            <v>MORAZZONE</v>
          </cell>
          <cell r="H2271" t="str">
            <v>VA</v>
          </cell>
          <cell r="I2271" t="str">
            <v>ITALIA</v>
          </cell>
          <cell r="J2271" t="str">
            <v>347-2801179</v>
          </cell>
        </row>
        <row r="2272">
          <cell r="B2272">
            <v>6931</v>
          </cell>
          <cell r="C2272" t="str">
            <v>SHOP H24 DI  FERRARI GIUSEPPE</v>
          </cell>
          <cell r="D2272" t="str">
            <v>01795380094 FRRGPP63T16D142 S</v>
          </cell>
          <cell r="E2272" t="str">
            <v>VIA TORINO, 35</v>
          </cell>
          <cell r="F2272">
            <v>17021</v>
          </cell>
          <cell r="G2272" t="str">
            <v>ALASSIO</v>
          </cell>
          <cell r="H2272" t="str">
            <v>SV</v>
          </cell>
          <cell r="I2272" t="str">
            <v>ITALIA</v>
          </cell>
          <cell r="J2272" t="str">
            <v>338-7795814</v>
          </cell>
        </row>
        <row r="2273">
          <cell r="B2273">
            <v>6667</v>
          </cell>
          <cell r="C2273" t="str">
            <v>SI VENDING SPOT  EOOD</v>
          </cell>
          <cell r="D2273" t="str">
            <v>204508449</v>
          </cell>
          <cell r="E2273" t="str">
            <v>26, MIR STR.</v>
          </cell>
          <cell r="F2273">
            <v>5300</v>
          </cell>
          <cell r="G2273" t="str">
            <v>GABROVO -  BULGARIA -</v>
          </cell>
          <cell r="I2273" t="str">
            <v>BULGARIA</v>
          </cell>
        </row>
        <row r="2274">
          <cell r="B2274">
            <v>5137</v>
          </cell>
          <cell r="C2274" t="str">
            <v>SI.AR DI SIRNA  PIERO &amp; C. S.A.S.</v>
          </cell>
          <cell r="D2274" t="str">
            <v>05802480011 05802480011</v>
          </cell>
          <cell r="E2274" t="str">
            <v>VIA RIVAROSSA, 29</v>
          </cell>
          <cell r="F2274">
            <v>10080</v>
          </cell>
          <cell r="G2274" t="str">
            <v>SAN BENIGNO  CANAVESE</v>
          </cell>
          <cell r="H2274" t="str">
            <v>TO</v>
          </cell>
          <cell r="I2274" t="str">
            <v>ITALIA</v>
          </cell>
          <cell r="J2274" t="str">
            <v xml:space="preserve">011-9880882 </v>
          </cell>
        </row>
        <row r="2275">
          <cell r="B2275">
            <v>2463</v>
          </cell>
          <cell r="C2275" t="str">
            <v>SI.MA. DI  SINELLI MARIO</v>
          </cell>
          <cell r="D2275" t="str">
            <v>02271810166 SNLMRA72M22D952 X</v>
          </cell>
          <cell r="E2275" t="str">
            <v>VIA SAN LORENZO, 45</v>
          </cell>
          <cell r="F2275">
            <v>24024</v>
          </cell>
          <cell r="G2275" t="str">
            <v>CAZZANO SANT'  ANDREA</v>
          </cell>
          <cell r="H2275" t="str">
            <v>BG</v>
          </cell>
          <cell r="I2275" t="str">
            <v>ITALIA</v>
          </cell>
          <cell r="J2275" t="str">
            <v>347-0066170</v>
          </cell>
        </row>
        <row r="2276">
          <cell r="B2276">
            <v>3873</v>
          </cell>
          <cell r="C2276" t="str">
            <v>SIAPE DI  ANNALISA EBOLI</v>
          </cell>
          <cell r="D2276" t="str">
            <v>10444350010 BLENLS75L59L219P</v>
          </cell>
          <cell r="E2276" t="str">
            <v>VIA SAN MARCHESE, 34/3</v>
          </cell>
          <cell r="F2276">
            <v>10078</v>
          </cell>
          <cell r="G2276" t="str">
            <v>VENARIA REALE</v>
          </cell>
          <cell r="H2276" t="str">
            <v>TO</v>
          </cell>
          <cell r="I2276" t="str">
            <v>ITALIA</v>
          </cell>
          <cell r="J2276" t="str">
            <v>392-6820402</v>
          </cell>
        </row>
        <row r="2277">
          <cell r="B2277">
            <v>1866</v>
          </cell>
          <cell r="C2277" t="str">
            <v>SIAV S.R.L.</v>
          </cell>
          <cell r="D2277" t="str">
            <v>12889160151 03460260155</v>
          </cell>
          <cell r="E2277" t="str">
            <v>PIAZZA CASTELLO, 9</v>
          </cell>
          <cell r="F2277">
            <v>20121</v>
          </cell>
          <cell r="G2277" t="str">
            <v>MILANO</v>
          </cell>
          <cell r="H2277" t="str">
            <v>MI</v>
          </cell>
          <cell r="I2277" t="str">
            <v>ITALIA</v>
          </cell>
          <cell r="J2277" t="str">
            <v>0323-33267</v>
          </cell>
        </row>
        <row r="2278">
          <cell r="B2278">
            <v>4895</v>
          </cell>
          <cell r="C2278" t="str">
            <v>SIBA-VENDING</v>
          </cell>
          <cell r="D2278" t="str">
            <v>7728848744</v>
          </cell>
          <cell r="E2278" t="str">
            <v>ST. SKLADOCHNAYA,  HOUSE 1, STR. 9</v>
          </cell>
          <cell r="F2278">
            <v>127018</v>
          </cell>
          <cell r="G2278" t="str">
            <v>MOSKVA</v>
          </cell>
          <cell r="I2278" t="str">
            <v>RUSSIA</v>
          </cell>
        </row>
        <row r="2279">
          <cell r="B2279">
            <v>4617</v>
          </cell>
          <cell r="C2279" t="str">
            <v>SIBONA MASSIMO</v>
          </cell>
          <cell r="D2279" t="str">
            <v>07176860018 SBNMSM60E02L219 G</v>
          </cell>
          <cell r="E2279" t="str">
            <v>VIA TOTI, 18</v>
          </cell>
          <cell r="F2279">
            <v>10036</v>
          </cell>
          <cell r="G2279" t="str">
            <v>SETTIMO  TORINESE</v>
          </cell>
          <cell r="H2279" t="str">
            <v>TO</v>
          </cell>
          <cell r="I2279" t="str">
            <v>ITALIA</v>
          </cell>
          <cell r="J2279" t="str">
            <v>011-8950967</v>
          </cell>
        </row>
        <row r="2280">
          <cell r="B2280">
            <v>7395</v>
          </cell>
          <cell r="C2280" t="str">
            <v>SIDA DI  TORTORELLA  DANIELE</v>
          </cell>
          <cell r="D2280" t="str">
            <v>12393420018 TRTDNL88E21L219Z</v>
          </cell>
          <cell r="E2280" t="str">
            <v>VIA V. ALFIERI, 9</v>
          </cell>
          <cell r="F2280">
            <v>10098</v>
          </cell>
          <cell r="G2280" t="str">
            <v>RIVOLI</v>
          </cell>
          <cell r="H2280" t="str">
            <v>TO</v>
          </cell>
          <cell r="I2280" t="str">
            <v>ITALIA</v>
          </cell>
          <cell r="J2280" t="str">
            <v xml:space="preserve">011-9530131 </v>
          </cell>
        </row>
        <row r="2281">
          <cell r="B2281">
            <v>2269</v>
          </cell>
          <cell r="C2281" t="str">
            <v>SI-DA DI SILVA  GIAN LUCA</v>
          </cell>
          <cell r="D2281" t="str">
            <v>01605610995 SLVGLC71C04L219L</v>
          </cell>
          <cell r="E2281" t="str">
            <v>VIA ROBINO, 291 R</v>
          </cell>
          <cell r="F2281">
            <v>16142</v>
          </cell>
          <cell r="G2281" t="str">
            <v>GENOVA</v>
          </cell>
          <cell r="H2281" t="str">
            <v>GE</v>
          </cell>
          <cell r="I2281" t="str">
            <v>ITALIA</v>
          </cell>
          <cell r="J2281" t="str">
            <v>010-811352</v>
          </cell>
        </row>
        <row r="2282">
          <cell r="B2282">
            <v>147</v>
          </cell>
          <cell r="C2282" t="str">
            <v>SIDAB DI SALA W. &amp; POLO O. S.N.C.</v>
          </cell>
          <cell r="D2282" t="str">
            <v>00724380969 01804280152</v>
          </cell>
          <cell r="E2282" t="str">
            <v>VIA CERVINO, 32</v>
          </cell>
          <cell r="F2282">
            <v>20038</v>
          </cell>
          <cell r="G2282" t="str">
            <v>SEREGNO</v>
          </cell>
          <cell r="H2282" t="str">
            <v>MB</v>
          </cell>
          <cell r="I2282" t="str">
            <v>ITALIA</v>
          </cell>
          <cell r="J2282" t="str">
            <v>0362-862323</v>
          </cell>
        </row>
        <row r="2283">
          <cell r="B2283">
            <v>4287</v>
          </cell>
          <cell r="C2283" t="str">
            <v>SIGASMOKE S.R.L.  CR</v>
          </cell>
          <cell r="D2283" t="str">
            <v>10829770014 10829770014</v>
          </cell>
          <cell r="E2283" t="str">
            <v>VIA CARLO VIDUA, 7 G</v>
          </cell>
          <cell r="F2283">
            <v>10100</v>
          </cell>
          <cell r="G2283" t="str">
            <v>TORINO</v>
          </cell>
          <cell r="H2283" t="str">
            <v>TO</v>
          </cell>
          <cell r="I2283" t="str">
            <v>ITALIA</v>
          </cell>
          <cell r="J2283" t="str">
            <v xml:space="preserve">011-19837007 </v>
          </cell>
        </row>
        <row r="2284">
          <cell r="B2284">
            <v>3671</v>
          </cell>
          <cell r="C2284" t="str">
            <v>SIGMA S.R.L.</v>
          </cell>
          <cell r="D2284" t="str">
            <v>03240720049 03240720049</v>
          </cell>
          <cell r="E2284" t="str">
            <v>VIA CASTELRINALDO, 14</v>
          </cell>
          <cell r="F2284">
            <v>12045</v>
          </cell>
          <cell r="G2284" t="str">
            <v>FOSSANO</v>
          </cell>
          <cell r="H2284" t="str">
            <v>CN</v>
          </cell>
          <cell r="I2284" t="str">
            <v>ITALIA</v>
          </cell>
          <cell r="J2284" t="str">
            <v xml:space="preserve">0172-646213 </v>
          </cell>
        </row>
        <row r="2285">
          <cell r="B2285">
            <v>6438</v>
          </cell>
          <cell r="C2285" t="str">
            <v>SIGNAL  INTERNATIONAL S.R. L.</v>
          </cell>
          <cell r="D2285" t="str">
            <v>10383140018 10383140018</v>
          </cell>
          <cell r="E2285" t="str">
            <v>VIA BLIGNY, 5</v>
          </cell>
          <cell r="F2285">
            <v>10122</v>
          </cell>
          <cell r="G2285" t="str">
            <v>TORINO</v>
          </cell>
          <cell r="H2285" t="str">
            <v>TO</v>
          </cell>
          <cell r="I2285" t="str">
            <v>ITALIA</v>
          </cell>
          <cell r="J2285" t="str">
            <v>348-7443054</v>
          </cell>
        </row>
        <row r="2286">
          <cell r="B2286">
            <v>2940</v>
          </cell>
          <cell r="C2286" t="str">
            <v>SIME S.a.s.</v>
          </cell>
          <cell r="D2286" t="str">
            <v>01469070021</v>
          </cell>
          <cell r="E2286" t="str">
            <v>VIA BRUNO BUOZZI, 16</v>
          </cell>
          <cell r="F2286">
            <v>13051</v>
          </cell>
          <cell r="G2286" t="str">
            <v>PONDERANO</v>
          </cell>
          <cell r="H2286" t="str">
            <v>CN</v>
          </cell>
          <cell r="I2286" t="str">
            <v>ITALIA</v>
          </cell>
          <cell r="J2286" t="str">
            <v>380-5152595</v>
          </cell>
        </row>
        <row r="2287">
          <cell r="B2287">
            <v>3978</v>
          </cell>
          <cell r="C2287" t="str">
            <v>SIMEONE S.N.C. DI  SIMEONE G. &amp; C.</v>
          </cell>
          <cell r="D2287" t="str">
            <v>07649900011 07649900011</v>
          </cell>
          <cell r="E2287" t="str">
            <v>VIA DELLA GERBOLA, 10/A</v>
          </cell>
          <cell r="F2287">
            <v>10077</v>
          </cell>
          <cell r="G2287" t="str">
            <v>CERETTA  DI  SAN MAURIZIO  C.SE</v>
          </cell>
          <cell r="H2287" t="str">
            <v>TO</v>
          </cell>
          <cell r="I2287" t="str">
            <v>ITALIA</v>
          </cell>
          <cell r="J2287" t="str">
            <v xml:space="preserve">011/9279348 </v>
          </cell>
        </row>
        <row r="2288">
          <cell r="B2288">
            <v>6973</v>
          </cell>
          <cell r="C2288" t="str">
            <v>SIMEONOV SIMEON  MLADENOV</v>
          </cell>
          <cell r="D2288" t="str">
            <v>SMNSNM74B24Z104 E</v>
          </cell>
          <cell r="E2288" t="str">
            <v>VIA TOGNI, 44</v>
          </cell>
          <cell r="F2288">
            <v>27043</v>
          </cell>
          <cell r="G2288" t="str">
            <v>BRONI</v>
          </cell>
          <cell r="H2288" t="str">
            <v>PV</v>
          </cell>
          <cell r="I2288" t="str">
            <v>ITALIA</v>
          </cell>
        </row>
        <row r="2289">
          <cell r="B2289">
            <v>4535</v>
          </cell>
          <cell r="C2289" t="str">
            <v>SIMET SOC. COOP.</v>
          </cell>
          <cell r="D2289" t="str">
            <v>07640640012</v>
          </cell>
          <cell r="E2289" t="str">
            <v>VIA COL DEL LYS, 17</v>
          </cell>
          <cell r="F2289">
            <v>10036</v>
          </cell>
          <cell r="G2289" t="str">
            <v>SETTIMO  TORINESE</v>
          </cell>
          <cell r="H2289" t="str">
            <v>TO</v>
          </cell>
          <cell r="I2289" t="str">
            <v>ITALIA</v>
          </cell>
          <cell r="J2289" t="str">
            <v>347-3337568</v>
          </cell>
        </row>
        <row r="2290">
          <cell r="B2290">
            <v>6646</v>
          </cell>
          <cell r="C2290" t="str">
            <v>SIMILE S.N.C. DI  SCALA PATRIZIA &amp;  C.</v>
          </cell>
          <cell r="D2290" t="str">
            <v>07302560011 07302560011</v>
          </cell>
          <cell r="E2290" t="str">
            <v>VIA NOVALESA, 1</v>
          </cell>
          <cell r="F2290">
            <v>10093</v>
          </cell>
          <cell r="G2290" t="str">
            <v>COLLEGNO</v>
          </cell>
          <cell r="H2290" t="str">
            <v>TO</v>
          </cell>
          <cell r="I2290" t="str">
            <v>ITALIA</v>
          </cell>
          <cell r="J2290" t="str">
            <v>348-2848139</v>
          </cell>
        </row>
        <row r="2291">
          <cell r="B2291">
            <v>4664</v>
          </cell>
          <cell r="C2291" t="str">
            <v>SIMO DI  CACCIATORI  MICHELE</v>
          </cell>
          <cell r="D2291" t="str">
            <v>02379350065 CCCMHL83B01B885 L</v>
          </cell>
          <cell r="E2291" t="str">
            <v>VIA DELL'ADDOLORATA,  13</v>
          </cell>
          <cell r="F2291">
            <v>15033</v>
          </cell>
          <cell r="G2291" t="str">
            <v>CASALE  MONFERRATO</v>
          </cell>
          <cell r="H2291" t="str">
            <v>AL</v>
          </cell>
          <cell r="I2291" t="str">
            <v>ITALIA</v>
          </cell>
          <cell r="J2291" t="str">
            <v xml:space="preserve">0142-70422 </v>
          </cell>
        </row>
        <row r="2292">
          <cell r="B2292">
            <v>7282</v>
          </cell>
          <cell r="C2292" t="str">
            <v>SIMONE MARCO</v>
          </cell>
          <cell r="D2292" t="str">
            <v>SMNMRC62R08F205 D</v>
          </cell>
          <cell r="E2292" t="str">
            <v>VIA LELIO BASSO 8</v>
          </cell>
          <cell r="F2292">
            <v>20142</v>
          </cell>
          <cell r="G2292" t="str">
            <v>MILANO</v>
          </cell>
          <cell r="H2292" t="str">
            <v>MI</v>
          </cell>
          <cell r="I2292" t="str">
            <v>ITALIA</v>
          </cell>
          <cell r="J2292" t="str">
            <v>348-2741177</v>
          </cell>
        </row>
        <row r="2293">
          <cell r="B2293">
            <v>7406</v>
          </cell>
          <cell r="C2293" t="str">
            <v>SIMONI BIANCA</v>
          </cell>
          <cell r="D2293" t="str">
            <v>SMNBNC55A51F205 K</v>
          </cell>
          <cell r="E2293" t="str">
            <v>VIA MATTEOTTI 27</v>
          </cell>
          <cell r="F2293">
            <v>28041</v>
          </cell>
          <cell r="G2293" t="str">
            <v>ARONA</v>
          </cell>
          <cell r="H2293" t="str">
            <v>NO</v>
          </cell>
          <cell r="I2293" t="str">
            <v>ITALIA</v>
          </cell>
          <cell r="J2293" t="str">
            <v>347-3352303</v>
          </cell>
        </row>
        <row r="2294">
          <cell r="B2294">
            <v>7229</v>
          </cell>
          <cell r="C2294" t="str">
            <v>SIMONI SILVIA</v>
          </cell>
          <cell r="D2294" t="str">
            <v>SMNSLV62D62F335 U</v>
          </cell>
          <cell r="E2294" t="str">
            <v>VIA PUGLIA 13</v>
          </cell>
          <cell r="F2294">
            <v>10043</v>
          </cell>
          <cell r="G2294" t="str">
            <v>ORBASSANO</v>
          </cell>
          <cell r="H2294" t="str">
            <v>TO</v>
          </cell>
          <cell r="I2294" t="str">
            <v>ITALIA</v>
          </cell>
          <cell r="J2294" t="str">
            <v>333-2680451</v>
          </cell>
        </row>
        <row r="2295">
          <cell r="B2295">
            <v>10222</v>
          </cell>
          <cell r="C2295" t="str">
            <v>SIMPLY ART DI VALENTINO AMORUSO</v>
          </cell>
          <cell r="E2295" t="str">
            <v>VIA SAFFO, 17</v>
          </cell>
          <cell r="F2295">
            <v>88900</v>
          </cell>
          <cell r="G2295" t="str">
            <v>CROTONE</v>
          </cell>
          <cell r="H2295" t="str">
            <v>KR</v>
          </cell>
          <cell r="I2295" t="str">
            <v>ITALIA</v>
          </cell>
          <cell r="J2295" t="str">
            <v>328-0589740</v>
          </cell>
        </row>
        <row r="2296">
          <cell r="B2296">
            <v>7045</v>
          </cell>
          <cell r="C2296" t="str">
            <v>SINAGOGA GIULIA</v>
          </cell>
          <cell r="D2296" t="str">
            <v>SNGGLI94C44H501 R</v>
          </cell>
          <cell r="E2296" t="str">
            <v>VIA ENRICO JOVANE, 9</v>
          </cell>
          <cell r="F2296">
            <v>156</v>
          </cell>
          <cell r="G2296" t="str">
            <v>Roma</v>
          </cell>
          <cell r="H2296" t="str">
            <v>RM</v>
          </cell>
          <cell r="I2296" t="str">
            <v>ITALIA</v>
          </cell>
          <cell r="J2296" t="str">
            <v>348-5348265</v>
          </cell>
        </row>
        <row r="2297">
          <cell r="B2297">
            <v>420</v>
          </cell>
          <cell r="C2297" t="str">
            <v>SINDA S.A.S. DI  SCHWARZ  WILHELMINE &amp; C.</v>
          </cell>
          <cell r="D2297" t="str">
            <v>10619370157 10619370157</v>
          </cell>
          <cell r="E2297" t="str">
            <v>VIA GRAMSCI, 60</v>
          </cell>
          <cell r="F2297">
            <v>20027</v>
          </cell>
          <cell r="G2297" t="str">
            <v>RESCALDINA</v>
          </cell>
          <cell r="H2297" t="str">
            <v>MI</v>
          </cell>
          <cell r="I2297" t="str">
            <v>ITALIA</v>
          </cell>
          <cell r="J2297" t="str">
            <v xml:space="preserve">0331-576934 </v>
          </cell>
        </row>
        <row r="2298">
          <cell r="B2298">
            <v>3798</v>
          </cell>
          <cell r="C2298" t="str">
            <v>SINERCOFFEE S.R.L.</v>
          </cell>
          <cell r="D2298" t="str">
            <v>01315770113 01315770113</v>
          </cell>
          <cell r="E2298" t="str">
            <v>VIA A. DE GASPERI, 48/D</v>
          </cell>
          <cell r="F2298">
            <v>16030</v>
          </cell>
          <cell r="G2298" t="str">
            <v>CASARZA  LIGURE</v>
          </cell>
          <cell r="H2298" t="str">
            <v>GE</v>
          </cell>
          <cell r="I2298" t="str">
            <v>ITALIA</v>
          </cell>
          <cell r="J2298" t="str">
            <v>0185-300499</v>
          </cell>
        </row>
        <row r="2299">
          <cell r="B2299">
            <v>6715</v>
          </cell>
          <cell r="C2299" t="str">
            <v>SINFONIA DI  CAPSULE E CIALDE  S.R.L.</v>
          </cell>
          <cell r="D2299" t="str">
            <v>03718240132 03718240132</v>
          </cell>
          <cell r="E2299" t="str">
            <v>VIA RONCORONI, 39</v>
          </cell>
          <cell r="F2299">
            <v>22077</v>
          </cell>
          <cell r="G2299" t="str">
            <v>OLGIATE  COMASCO</v>
          </cell>
          <cell r="H2299" t="str">
            <v>CO</v>
          </cell>
          <cell r="I2299" t="str">
            <v>ITALIA</v>
          </cell>
          <cell r="J2299" t="str">
            <v>031-944986</v>
          </cell>
        </row>
        <row r="2300">
          <cell r="B2300">
            <v>6583</v>
          </cell>
          <cell r="C2300" t="str">
            <v>SIRAKO SERVIZI  SRL</v>
          </cell>
          <cell r="D2300" t="str">
            <v>01508830898 01508830898</v>
          </cell>
          <cell r="E2300" t="str">
            <v>C.SO BUENOS AIRES N. 60</v>
          </cell>
          <cell r="F2300">
            <v>20124</v>
          </cell>
          <cell r="G2300" t="str">
            <v>MILANO</v>
          </cell>
          <cell r="H2300" t="str">
            <v>MI</v>
          </cell>
          <cell r="I2300" t="str">
            <v>ITALIA</v>
          </cell>
          <cell r="J2300" t="str">
            <v>348-2475072</v>
          </cell>
        </row>
        <row r="2301">
          <cell r="B2301">
            <v>3358</v>
          </cell>
          <cell r="C2301" t="str">
            <v>SIRTE DI AIMAR  FABRIZIO</v>
          </cell>
          <cell r="D2301" t="str">
            <v>07394030014 MRAFRZ64R01L219J</v>
          </cell>
          <cell r="E2301" t="str">
            <v>VIA PISACANE, 3</v>
          </cell>
          <cell r="F2301">
            <v>10127</v>
          </cell>
          <cell r="G2301" t="str">
            <v>TORINO</v>
          </cell>
          <cell r="H2301" t="str">
            <v>TO</v>
          </cell>
          <cell r="I2301" t="str">
            <v>ITALIA</v>
          </cell>
          <cell r="J2301" t="str">
            <v>011-6061779</v>
          </cell>
        </row>
        <row r="2302">
          <cell r="B2302">
            <v>7034</v>
          </cell>
          <cell r="C2302" t="str">
            <v>SISTO MARIA LUISA</v>
          </cell>
          <cell r="D2302" t="str">
            <v>SSTMLS77S56L673 S</v>
          </cell>
          <cell r="E2302" t="str">
            <v>VIA OGNISSANTI, 18</v>
          </cell>
          <cell r="F2302">
            <v>89010</v>
          </cell>
          <cell r="G2302" t="str">
            <v>VARAPODIO</v>
          </cell>
          <cell r="H2302" t="str">
            <v>RC</v>
          </cell>
          <cell r="I2302" t="str">
            <v>ITALIA</v>
          </cell>
          <cell r="J2302" t="str">
            <v>320-8064195</v>
          </cell>
        </row>
        <row r="2303">
          <cell r="B2303">
            <v>7487</v>
          </cell>
          <cell r="C2303" t="str">
            <v>SIVIGLIA TINA</v>
          </cell>
          <cell r="D2303" t="str">
            <v>SVGNNZ78T47H558 C</v>
          </cell>
          <cell r="E2303" t="str">
            <v>VIA ZARA 21</v>
          </cell>
          <cell r="F2303">
            <v>89025</v>
          </cell>
          <cell r="G2303" t="str">
            <v>ROSARNO</v>
          </cell>
          <cell r="H2303" t="str">
            <v>RC</v>
          </cell>
          <cell r="I2303" t="str">
            <v>ITALIA</v>
          </cell>
          <cell r="J2303" t="str">
            <v>338-3026636</v>
          </cell>
        </row>
        <row r="2304">
          <cell r="B2304">
            <v>3054</v>
          </cell>
          <cell r="C2304" t="str">
            <v>SLOT AND GAMES  DI CAVALLONE  DAVIDE</v>
          </cell>
          <cell r="D2304" t="str">
            <v>02319410029 CVLDVD69H30L750 V</v>
          </cell>
          <cell r="E2304" t="str">
            <v>ST. LANDOGLIO, 6</v>
          </cell>
          <cell r="F2304">
            <v>13044</v>
          </cell>
          <cell r="G2304" t="str">
            <v>CRESCENTINO</v>
          </cell>
          <cell r="H2304" t="str">
            <v>TO</v>
          </cell>
          <cell r="I2304" t="str">
            <v>ITALIA</v>
          </cell>
          <cell r="J2304" t="str">
            <v xml:space="preserve">0161-841266 </v>
          </cell>
        </row>
        <row r="2305">
          <cell r="B2305">
            <v>6103</v>
          </cell>
          <cell r="C2305" t="str">
            <v>SMAD DI  MARCHESINI  ANTONELLO</v>
          </cell>
          <cell r="D2305" t="str">
            <v>08964300019 MRCNNL63R25L219 H</v>
          </cell>
          <cell r="E2305" t="str">
            <v>VIA MARCONI,7</v>
          </cell>
          <cell r="F2305">
            <v>10040</v>
          </cell>
          <cell r="G2305" t="str">
            <v>DRUENTO</v>
          </cell>
          <cell r="H2305" t="str">
            <v>TO</v>
          </cell>
          <cell r="I2305" t="str">
            <v>ITALIA</v>
          </cell>
          <cell r="J2305" t="str">
            <v>339-4982013</v>
          </cell>
        </row>
        <row r="2306">
          <cell r="B2306">
            <v>3564</v>
          </cell>
          <cell r="C2306" t="str">
            <v>SNACK &amp; DRINKS  DI SILVANA TURCO</v>
          </cell>
          <cell r="D2306" t="str">
            <v>10133600014 TRCSVN66S60L219 Z</v>
          </cell>
          <cell r="E2306" t="str">
            <v>VIA SOSPELLO, 119/8</v>
          </cell>
          <cell r="F2306">
            <v>10147</v>
          </cell>
          <cell r="G2306" t="str">
            <v>TORINO</v>
          </cell>
          <cell r="H2306" t="str">
            <v>TO</v>
          </cell>
          <cell r="I2306" t="str">
            <v>ITALIA</v>
          </cell>
          <cell r="J2306" t="str">
            <v>338-8811088</v>
          </cell>
        </row>
        <row r="2307">
          <cell r="B2307">
            <v>5680</v>
          </cell>
          <cell r="C2307" t="str">
            <v>SO.CA.DA S.R.L.   UNIPERSONALE</v>
          </cell>
          <cell r="D2307" t="str">
            <v>05951370013 05951370013</v>
          </cell>
          <cell r="E2307" t="str">
            <v>VIA CANTON MORETTI, 2</v>
          </cell>
          <cell r="F2307">
            <v>10018</v>
          </cell>
          <cell r="G2307" t="str">
            <v>PAVONE  CANAVESE</v>
          </cell>
          <cell r="H2307" t="str">
            <v>TO</v>
          </cell>
          <cell r="I2307" t="str">
            <v>ITALIA</v>
          </cell>
          <cell r="J2307" t="str">
            <v xml:space="preserve">0125-230866 </v>
          </cell>
        </row>
        <row r="2308">
          <cell r="B2308">
            <v>4882</v>
          </cell>
          <cell r="C2308" t="str">
            <v>SO.CO.VI S.R.L.</v>
          </cell>
          <cell r="D2308" t="str">
            <v>08297620968 08297620968</v>
          </cell>
          <cell r="E2308" t="str">
            <v>VIA SAN DOMENICO, 6</v>
          </cell>
          <cell r="F2308">
            <v>20025</v>
          </cell>
          <cell r="G2308" t="str">
            <v>LEGNANO</v>
          </cell>
          <cell r="H2308" t="str">
            <v>MI</v>
          </cell>
          <cell r="I2308" t="str">
            <v>ITALIA</v>
          </cell>
          <cell r="J2308" t="str">
            <v>0331-550440</v>
          </cell>
        </row>
        <row r="2309">
          <cell r="B2309">
            <v>963</v>
          </cell>
          <cell r="C2309" t="str">
            <v>SO.GE.D.A.  PIEMONTE S.R.L.</v>
          </cell>
          <cell r="D2309" t="str">
            <v>00671600047 00671600047</v>
          </cell>
          <cell r="E2309" t="str">
            <v>S.S. LAGHI DI AVIGLIANA, 42/C</v>
          </cell>
          <cell r="F2309">
            <v>12020</v>
          </cell>
          <cell r="G2309" t="str">
            <v>S.CHIAFFREDO  DI TARANTASCA</v>
          </cell>
          <cell r="H2309" t="str">
            <v>CN</v>
          </cell>
          <cell r="I2309" t="str">
            <v>ITALIA</v>
          </cell>
          <cell r="J2309" t="str">
            <v>0171-940710</v>
          </cell>
        </row>
        <row r="2310">
          <cell r="B2310">
            <v>5694</v>
          </cell>
          <cell r="C2310" t="str">
            <v>SO.GE.MA.C.  S.N.C.</v>
          </cell>
          <cell r="D2310" t="str">
            <v>02401750019 02401750019</v>
          </cell>
          <cell r="E2310" t="str">
            <v>VIA DEI RONCHI, 51/A5</v>
          </cell>
          <cell r="F2310">
            <v>10091</v>
          </cell>
          <cell r="G2310" t="str">
            <v>ALPIGNANO</v>
          </cell>
          <cell r="H2310" t="str">
            <v>TO</v>
          </cell>
          <cell r="I2310" t="str">
            <v>ITALIA</v>
          </cell>
          <cell r="J2310" t="str">
            <v xml:space="preserve">335-7594969 </v>
          </cell>
        </row>
        <row r="2311">
          <cell r="B2311">
            <v>2712</v>
          </cell>
          <cell r="C2311" t="str">
            <v>SOC.AGRICOLA  FATTORIA  MACCAZZOLA</v>
          </cell>
          <cell r="D2311" t="str">
            <v>04062040151</v>
          </cell>
          <cell r="E2311" t="str">
            <v>VIA PODERE LA VIGNA, 27</v>
          </cell>
          <cell r="F2311">
            <v>20019</v>
          </cell>
          <cell r="G2311" t="str">
            <v>SETTIMO  MILANESE</v>
          </cell>
          <cell r="H2311" t="str">
            <v>MI</v>
          </cell>
          <cell r="I2311" t="str">
            <v>ITALIA</v>
          </cell>
          <cell r="J2311" t="str">
            <v>02-33512244</v>
          </cell>
        </row>
        <row r="2312">
          <cell r="B2312">
            <v>7420</v>
          </cell>
          <cell r="C2312" t="str">
            <v>SOCIAL COFFEE DI  SCARFO' DANIELE</v>
          </cell>
          <cell r="D2312" t="str">
            <v>12145330010 SCRDNL89P28L219 Q</v>
          </cell>
          <cell r="E2312" t="str">
            <v>VIA SUPERGA, 45</v>
          </cell>
          <cell r="F2312">
            <v>10050</v>
          </cell>
          <cell r="G2312" t="str">
            <v>SANT'ANTONINO  DI SUSA</v>
          </cell>
          <cell r="H2312" t="str">
            <v>TO</v>
          </cell>
          <cell r="I2312" t="str">
            <v>ITALIA</v>
          </cell>
          <cell r="J2312" t="str">
            <v>342-7610538</v>
          </cell>
        </row>
        <row r="2313">
          <cell r="B2313">
            <v>6780</v>
          </cell>
          <cell r="C2313" t="str">
            <v>SOCIETA'  AGRICOLA  AGRIGAS S.S.</v>
          </cell>
          <cell r="D2313" t="str">
            <v>03183350044 03183350044</v>
          </cell>
          <cell r="E2313" t="str">
            <v>VIA NUOVA, 19</v>
          </cell>
          <cell r="F2313">
            <v>12030</v>
          </cell>
          <cell r="G2313" t="str">
            <v>CARAMAGNA P. TE</v>
          </cell>
          <cell r="H2313" t="str">
            <v>CN</v>
          </cell>
          <cell r="I2313" t="str">
            <v>ITALIA</v>
          </cell>
        </row>
        <row r="2314">
          <cell r="B2314">
            <v>7470</v>
          </cell>
          <cell r="C2314" t="str">
            <v>SOCIETA'  AGRICOLA  SPORTYLAND S.S.</v>
          </cell>
          <cell r="D2314" t="str">
            <v>02594710275</v>
          </cell>
          <cell r="E2314" t="str">
            <v>VIA SANT'ANTONIO 6</v>
          </cell>
          <cell r="F2314">
            <v>30029</v>
          </cell>
          <cell r="G2314" t="str">
            <v>SANTO STINO  DI LIVENZA</v>
          </cell>
          <cell r="H2314" t="str">
            <v>VE</v>
          </cell>
          <cell r="I2314" t="str">
            <v>ITALIA</v>
          </cell>
          <cell r="J2314" t="str">
            <v>335-6834333</v>
          </cell>
        </row>
        <row r="2315">
          <cell r="B2315">
            <v>6804</v>
          </cell>
          <cell r="C2315" t="str">
            <v>SOCIETA'  AGRICOLA F.LLI  BORTOLI S.S.</v>
          </cell>
          <cell r="D2315" t="str">
            <v>00183670124 00183670124</v>
          </cell>
          <cell r="E2315" t="str">
            <v>VIA BELVEDERE, 21</v>
          </cell>
          <cell r="F2315">
            <v>21050</v>
          </cell>
          <cell r="G2315" t="str">
            <v>GORLA  MAGGIORE</v>
          </cell>
          <cell r="H2315" t="str">
            <v>VA</v>
          </cell>
          <cell r="I2315" t="str">
            <v>ITALIA</v>
          </cell>
          <cell r="J2315" t="str">
            <v>349-7604452</v>
          </cell>
        </row>
        <row r="2316">
          <cell r="B2316">
            <v>4515</v>
          </cell>
          <cell r="C2316" t="str">
            <v>SOCIETA'  AGRICOLA LA  PRIMULA S.A.S.</v>
          </cell>
          <cell r="D2316" t="str">
            <v>02371730017 02371730017</v>
          </cell>
          <cell r="E2316" t="str">
            <v>VIA CASSAGNA, 20</v>
          </cell>
          <cell r="F2316">
            <v>10044</v>
          </cell>
          <cell r="G2316" t="str">
            <v>PIANEZZA</v>
          </cell>
          <cell r="H2316" t="str">
            <v>TO</v>
          </cell>
          <cell r="I2316" t="str">
            <v>ITALIA</v>
          </cell>
          <cell r="J2316" t="str">
            <v>328-4333060</v>
          </cell>
        </row>
        <row r="2317">
          <cell r="B2317">
            <v>4423</v>
          </cell>
          <cell r="C2317" t="str">
            <v>SOCIETA'  AGRICOLA LA ROSA  S.S.</v>
          </cell>
          <cell r="D2317" t="str">
            <v>02671030043 02671030043</v>
          </cell>
          <cell r="E2317" t="str">
            <v>VIA SCARMAFIGI, 19</v>
          </cell>
          <cell r="F2317">
            <v>12030</v>
          </cell>
          <cell r="G2317" t="str">
            <v>TORRE SAN  GIORGIO</v>
          </cell>
          <cell r="H2317" t="str">
            <v>CN</v>
          </cell>
          <cell r="I2317" t="str">
            <v>ITALIA</v>
          </cell>
          <cell r="J2317" t="str">
            <v>327-7511262</v>
          </cell>
        </row>
        <row r="2318">
          <cell r="B2318">
            <v>4830</v>
          </cell>
          <cell r="C2318" t="str">
            <v>SOCIETA'  AGRICOLA SOLE S.S. DI BOSIO F.LLI</v>
          </cell>
          <cell r="D2318" t="str">
            <v>10519690019 10519690019</v>
          </cell>
          <cell r="E2318" t="str">
            <v>VIA CASELLETTE, 67</v>
          </cell>
          <cell r="F2318">
            <v>10091</v>
          </cell>
          <cell r="G2318" t="str">
            <v>ALPIGNANO</v>
          </cell>
          <cell r="H2318" t="str">
            <v>TO</v>
          </cell>
          <cell r="I2318" t="str">
            <v>ITALIA</v>
          </cell>
          <cell r="J2318" t="str">
            <v>011-9677109</v>
          </cell>
        </row>
        <row r="2319">
          <cell r="B2319">
            <v>5596</v>
          </cell>
          <cell r="C2319" t="str">
            <v>SOCIETA'  SAN  PAOLO</v>
          </cell>
          <cell r="D2319" t="str">
            <v>00434810586 00434810586</v>
          </cell>
          <cell r="E2319" t="str">
            <v>CORSO REGINA, 1</v>
          </cell>
          <cell r="F2319">
            <v>10124</v>
          </cell>
          <cell r="G2319" t="str">
            <v>TORINO</v>
          </cell>
          <cell r="H2319" t="str">
            <v>TO</v>
          </cell>
          <cell r="I2319" t="str">
            <v>ITALIA</v>
          </cell>
          <cell r="J2319" t="str">
            <v>011-8106711</v>
          </cell>
        </row>
        <row r="2320">
          <cell r="B2320">
            <v>7359</v>
          </cell>
          <cell r="C2320" t="str">
            <v>SOCIETA' AGRICOLA F.LLI ZAFFARONI</v>
          </cell>
          <cell r="D2320" t="str">
            <v>02575040122 02575040122</v>
          </cell>
          <cell r="E2320" t="str">
            <v>VIA RISORGIMENTO, 94</v>
          </cell>
          <cell r="F2320">
            <v>21040</v>
          </cell>
          <cell r="G2320" t="str">
            <v>GERENZANO</v>
          </cell>
          <cell r="H2320" t="str">
            <v>VA</v>
          </cell>
          <cell r="I2320" t="str">
            <v>ITALIA</v>
          </cell>
          <cell r="J2320" t="str">
            <v>02-9688850</v>
          </cell>
        </row>
        <row r="2321">
          <cell r="B2321">
            <v>3261</v>
          </cell>
          <cell r="C2321" t="str">
            <v>SODEXO ITALIA SPA</v>
          </cell>
          <cell r="D2321" t="str">
            <v>00805980158 00805980158</v>
          </cell>
          <cell r="E2321" t="str">
            <v>VIA F.LLI GRACCHI, 36</v>
          </cell>
          <cell r="F2321">
            <v>20092</v>
          </cell>
          <cell r="G2321" t="str">
            <v>CINISELLO  BALSAMO</v>
          </cell>
          <cell r="H2321" t="str">
            <v>MI</v>
          </cell>
          <cell r="I2321" t="str">
            <v>ITALIA</v>
          </cell>
          <cell r="J2321" t="str">
            <v>02-696841</v>
          </cell>
        </row>
        <row r="2322">
          <cell r="B2322">
            <v>9908</v>
          </cell>
          <cell r="C2322" t="str">
            <v>SODI CAFFE' DI PIROLA STEFANO</v>
          </cell>
          <cell r="E2322" t="str">
            <v>VIA SAN RAINALDO, 11</v>
          </cell>
          <cell r="F2322">
            <v>20863</v>
          </cell>
          <cell r="G2322" t="str">
            <v>CONCOREZZO</v>
          </cell>
          <cell r="H2322" t="str">
            <v>MB</v>
          </cell>
          <cell r="I2322" t="str">
            <v>ITALIA</v>
          </cell>
          <cell r="J2322" t="str">
            <v>349-2203258</v>
          </cell>
        </row>
        <row r="2323">
          <cell r="B2323">
            <v>5691</v>
          </cell>
          <cell r="C2323" t="str">
            <v>SODICAF S.R.L.</v>
          </cell>
          <cell r="D2323" t="str">
            <v>00866660012 00866660012</v>
          </cell>
          <cell r="E2323" t="str">
            <v>CORSO INGHILTERRA, 31</v>
          </cell>
          <cell r="F2323">
            <v>10138</v>
          </cell>
          <cell r="G2323" t="str">
            <v>TORINO</v>
          </cell>
          <cell r="H2323" t="str">
            <v>TO</v>
          </cell>
          <cell r="I2323" t="str">
            <v>ITALIA</v>
          </cell>
          <cell r="J2323" t="str">
            <v xml:space="preserve">011-952095 </v>
          </cell>
        </row>
        <row r="2324">
          <cell r="B2324">
            <v>6880</v>
          </cell>
          <cell r="C2324" t="str">
            <v>SOLE 65 S.N.C.</v>
          </cell>
          <cell r="D2324" t="str">
            <v>09634660014 09634660014</v>
          </cell>
          <cell r="E2324" t="str">
            <v>VIA DEI MILLE, S.N.</v>
          </cell>
          <cell r="F2324">
            <v>10082</v>
          </cell>
          <cell r="G2324" t="str">
            <v>CUORGNE'</v>
          </cell>
          <cell r="H2324" t="str">
            <v>TO</v>
          </cell>
          <cell r="I2324" t="str">
            <v>ITALIA</v>
          </cell>
          <cell r="J2324" t="str">
            <v>335-5652411</v>
          </cell>
        </row>
        <row r="2325">
          <cell r="B2325">
            <v>6820</v>
          </cell>
          <cell r="C2325" t="str">
            <v>SOLE LUNA DI  ROBERTA SCORZA</v>
          </cell>
          <cell r="D2325" t="str">
            <v>03736820048 SCRRRT81R48A145 E</v>
          </cell>
          <cell r="E2325" t="str">
            <v>PIAZZA DANTE, 17</v>
          </cell>
          <cell r="F2325">
            <v>18100</v>
          </cell>
          <cell r="G2325" t="str">
            <v>IMPERIA</v>
          </cell>
          <cell r="H2325" t="str">
            <v>IM</v>
          </cell>
          <cell r="I2325" t="str">
            <v>ITALIA</v>
          </cell>
          <cell r="J2325" t="str">
            <v>339-1055700</v>
          </cell>
        </row>
        <row r="2326">
          <cell r="B2326">
            <v>6797</v>
          </cell>
          <cell r="C2326" t="str">
            <v>SOLUZIONI  CAFFE'  DI DONZELLI  MATTEO</v>
          </cell>
          <cell r="D2326" t="str">
            <v>09599170967</v>
          </cell>
          <cell r="E2326" t="str">
            <v>VIA PAPA GIOVANNI   XXIII, 23</v>
          </cell>
          <cell r="F2326">
            <v>20098</v>
          </cell>
          <cell r="G2326" t="str">
            <v>SAN GIULIANO  MILANESE</v>
          </cell>
          <cell r="H2326" t="str">
            <v>MI</v>
          </cell>
          <cell r="I2326" t="str">
            <v>ITALIA</v>
          </cell>
          <cell r="J2326" t="str">
            <v>377-3503130</v>
          </cell>
        </row>
        <row r="2327">
          <cell r="B2327">
            <v>7188</v>
          </cell>
          <cell r="C2327" t="str">
            <v>SORRENTINO  ROSSANA</v>
          </cell>
          <cell r="D2327" t="str">
            <v>SRRRSN79A41D612 E</v>
          </cell>
          <cell r="E2327" t="str">
            <v>VIA MARAGLIANO, 93</v>
          </cell>
          <cell r="F2327">
            <v>50144</v>
          </cell>
          <cell r="G2327" t="str">
            <v>FIRENZE</v>
          </cell>
          <cell r="H2327" t="str">
            <v>FI</v>
          </cell>
          <cell r="I2327" t="str">
            <v>ITALIA</v>
          </cell>
          <cell r="J2327" t="str">
            <v>338-7098151</v>
          </cell>
        </row>
        <row r="2328">
          <cell r="B2328">
            <v>6635</v>
          </cell>
          <cell r="C2328" t="str">
            <v>SORTINO ASSEMBLAGGI</v>
          </cell>
          <cell r="E2328" t="str">
            <v>VIA MARINETTI,3</v>
          </cell>
          <cell r="F2328">
            <v>21012</v>
          </cell>
          <cell r="G2328" t="str">
            <v>CASSANO MAGNAGO</v>
          </cell>
          <cell r="H2328" t="str">
            <v xml:space="preserve">VA </v>
          </cell>
          <cell r="I2328" t="str">
            <v>ITALIA</v>
          </cell>
          <cell r="J2328" t="str">
            <v>0331-215217</v>
          </cell>
        </row>
        <row r="2329">
          <cell r="B2329">
            <v>7472</v>
          </cell>
          <cell r="C2329" t="str">
            <v>SOTGIU LUCA</v>
          </cell>
          <cell r="D2329" t="str">
            <v>STGLCU00T22I452B</v>
          </cell>
          <cell r="E2329" t="str">
            <v>VIA GIUSEPPE CANU 31</v>
          </cell>
          <cell r="F2329">
            <v>7044</v>
          </cell>
          <cell r="G2329" t="str">
            <v>ITTIRI</v>
          </cell>
          <cell r="H2329" t="str">
            <v>SS</v>
          </cell>
          <cell r="I2329" t="str">
            <v>ITALIA</v>
          </cell>
          <cell r="J2329" t="str">
            <v>345-1384593</v>
          </cell>
        </row>
        <row r="2330">
          <cell r="B2330">
            <v>6706</v>
          </cell>
          <cell r="C2330" t="str">
            <v>SOUTHFAM S.R.L.</v>
          </cell>
          <cell r="D2330" t="str">
            <v>09232150962 09232150962</v>
          </cell>
          <cell r="E2330" t="str">
            <v>VIA COLONNA MARCO  ANTONIO, 12</v>
          </cell>
          <cell r="F2330">
            <v>20149</v>
          </cell>
          <cell r="G2330" t="str">
            <v>MILANO</v>
          </cell>
          <cell r="H2330" t="str">
            <v>MI</v>
          </cell>
          <cell r="I2330" t="str">
            <v>ITALIA</v>
          </cell>
          <cell r="J2330" t="str">
            <v>339-6438889</v>
          </cell>
        </row>
        <row r="2331">
          <cell r="B2331">
            <v>6647</v>
          </cell>
          <cell r="C2331" t="str">
            <v>SPACCIO  DOLCIARIO DI  ALESSANDRO FERRO</v>
          </cell>
          <cell r="D2331" t="str">
            <v>10258070969 FRRLSN81C23H264F</v>
          </cell>
          <cell r="E2331" t="str">
            <v>VIA LEGNANINO, 13</v>
          </cell>
          <cell r="F2331">
            <v>21047</v>
          </cell>
          <cell r="G2331" t="str">
            <v>SARONNO</v>
          </cell>
          <cell r="H2331" t="str">
            <v>VA</v>
          </cell>
          <cell r="I2331" t="str">
            <v>ITALIA</v>
          </cell>
          <cell r="J2331" t="str">
            <v xml:space="preserve">02-39289980 </v>
          </cell>
        </row>
        <row r="2332">
          <cell r="B2332">
            <v>6845</v>
          </cell>
          <cell r="C2332" t="str">
            <v>SPALTINI  FRANCESCA</v>
          </cell>
          <cell r="D2332" t="str">
            <v>11913970015 SPLFNC75E55A859 W</v>
          </cell>
          <cell r="E2332" t="str">
            <v>VIA ROCCIAMELONE, 49</v>
          </cell>
          <cell r="F2332">
            <v>10099</v>
          </cell>
          <cell r="G2332" t="str">
            <v>SAN MAURO  TORINESE</v>
          </cell>
          <cell r="H2332" t="str">
            <v>TO</v>
          </cell>
          <cell r="I2332" t="str">
            <v>ITALIA</v>
          </cell>
          <cell r="J2332" t="str">
            <v>349-2906159</v>
          </cell>
        </row>
        <row r="2333">
          <cell r="B2333">
            <v>6485</v>
          </cell>
          <cell r="C2333" t="str">
            <v>SPAZIO CAPSULA  DI AG DI ANDREA  GIUDICI</v>
          </cell>
          <cell r="D2333" t="str">
            <v>11618010018 GDCNDR94S07C62 7U</v>
          </cell>
          <cell r="E2333" t="str">
            <v>CORSO VERCELLI, 193/D</v>
          </cell>
          <cell r="F2333">
            <v>10155</v>
          </cell>
          <cell r="G2333" t="str">
            <v>TORINO</v>
          </cell>
          <cell r="H2333" t="str">
            <v>TO</v>
          </cell>
          <cell r="I2333" t="str">
            <v>ITALIA</v>
          </cell>
          <cell r="J2333" t="str">
            <v xml:space="preserve">348-8553719 </v>
          </cell>
        </row>
        <row r="2334">
          <cell r="B2334">
            <v>4079</v>
          </cell>
          <cell r="C2334" t="str">
            <v>SPINA  MULTISERVIZI S.R.L.</v>
          </cell>
          <cell r="D2334" t="str">
            <v>03188810125 03188810125</v>
          </cell>
          <cell r="E2334" t="str">
            <v>VIA RONCARI, 29</v>
          </cell>
          <cell r="F2334">
            <v>21023</v>
          </cell>
          <cell r="G2334" t="str">
            <v>BESOZZO</v>
          </cell>
          <cell r="H2334" t="str">
            <v>VA</v>
          </cell>
          <cell r="I2334" t="str">
            <v>ITALIA</v>
          </cell>
          <cell r="J2334" t="str">
            <v>346-3155469</v>
          </cell>
        </row>
        <row r="2335">
          <cell r="B2335">
            <v>1545</v>
          </cell>
          <cell r="C2335" t="str">
            <v>SPOLAORE  DISTRIBUTORI S.R. L.</v>
          </cell>
          <cell r="D2335" t="str">
            <v>02641450248 02641450248</v>
          </cell>
          <cell r="E2335" t="str">
            <v>VIA GARIBALDI, 41</v>
          </cell>
          <cell r="F2335">
            <v>36022</v>
          </cell>
          <cell r="G2335" t="str">
            <v>CASSOLA</v>
          </cell>
          <cell r="H2335" t="str">
            <v>VI</v>
          </cell>
          <cell r="I2335" t="str">
            <v>ITALIA</v>
          </cell>
          <cell r="J2335" t="str">
            <v>0424-220204</v>
          </cell>
        </row>
        <row r="2336">
          <cell r="B2336">
            <v>4985</v>
          </cell>
          <cell r="C2336" t="str">
            <v>SPUNTICCHIO... E  CAFFE' DI BALLARE'  MONICA</v>
          </cell>
          <cell r="D2336" t="str">
            <v>11260660011 BLLMNC67C70L219 S</v>
          </cell>
          <cell r="E2336" t="str">
            <v>CORSO FRANCIA, 180</v>
          </cell>
          <cell r="F2336">
            <v>10093</v>
          </cell>
          <cell r="G2336" t="str">
            <v>COLLEGNO</v>
          </cell>
          <cell r="H2336" t="str">
            <v>TO</v>
          </cell>
          <cell r="I2336" t="str">
            <v>ITALIA</v>
          </cell>
          <cell r="J2336" t="str">
            <v>392-9350740</v>
          </cell>
        </row>
        <row r="2337">
          <cell r="B2337">
            <v>7477</v>
          </cell>
          <cell r="C2337" t="str">
            <v>SQUASSONI  STEFANIA</v>
          </cell>
          <cell r="D2337" t="str">
            <v>SQSSFN62L47A345 U</v>
          </cell>
          <cell r="E2337" t="str">
            <v>VIA DOLOMITI 32 B</v>
          </cell>
          <cell r="F2337">
            <v>38057</v>
          </cell>
          <cell r="G2337" t="str">
            <v>PERGINE  VALSUGANA</v>
          </cell>
          <cell r="H2337" t="str">
            <v>TN</v>
          </cell>
          <cell r="I2337" t="str">
            <v>ITALIA</v>
          </cell>
          <cell r="J2337" t="str">
            <v>046-1534521</v>
          </cell>
        </row>
        <row r="2338">
          <cell r="B2338">
            <v>4427</v>
          </cell>
          <cell r="C2338" t="str">
            <v>SRL LUXURY CAFE</v>
          </cell>
          <cell r="D2338" t="str">
            <v>1013606002483</v>
          </cell>
          <cell r="E2338"/>
          <cell r="F2338">
            <v>5822</v>
          </cell>
          <cell r="G2338" t="str">
            <v>TELENESTI -  INESTI</v>
          </cell>
          <cell r="I2338" t="str">
            <v>MOLDAVIA</v>
          </cell>
          <cell r="J2338"/>
        </row>
        <row r="2339">
          <cell r="B2339">
            <v>2665</v>
          </cell>
          <cell r="C2339" t="str">
            <v>ST S.N.C.  DISTRIBUZIONE  AUTOMATICA</v>
          </cell>
          <cell r="D2339" t="str">
            <v>04691790150 04691790150</v>
          </cell>
          <cell r="E2339" t="str">
            <v>VIA TIEPOLO, 25</v>
          </cell>
          <cell r="F2339">
            <v>20090</v>
          </cell>
          <cell r="G2339" t="str">
            <v>SEGRATE</v>
          </cell>
          <cell r="H2339" t="str">
            <v>MI</v>
          </cell>
          <cell r="I2339" t="str">
            <v>ITALIA</v>
          </cell>
          <cell r="J2339" t="str">
            <v>02-2134698</v>
          </cell>
        </row>
        <row r="2340">
          <cell r="B2340">
            <v>7377</v>
          </cell>
          <cell r="C2340" t="str">
            <v>STAFF PROGETTI  INGEGNERIA E  CONSULENZA</v>
          </cell>
          <cell r="D2340" t="str">
            <v>03740070044</v>
          </cell>
          <cell r="E2340" t="str">
            <v>CORSO BRUNET, 7</v>
          </cell>
          <cell r="F2340">
            <v>12100</v>
          </cell>
          <cell r="G2340" t="str">
            <v>CUNEO</v>
          </cell>
          <cell r="H2340" t="str">
            <v>CN</v>
          </cell>
          <cell r="I2340" t="str">
            <v>ITALIA</v>
          </cell>
          <cell r="J2340" t="str">
            <v>017-1699227</v>
          </cell>
        </row>
        <row r="2341">
          <cell r="B2341">
            <v>6859</v>
          </cell>
          <cell r="C2341" t="str">
            <v>STAFFONI M. &amp;  DELLAROLE K. S.N.C.</v>
          </cell>
          <cell r="D2341" t="str">
            <v>02664370026</v>
          </cell>
          <cell r="E2341" t="str">
            <v>VIA TRINO, 20</v>
          </cell>
          <cell r="F2341">
            <v>13100</v>
          </cell>
          <cell r="G2341" t="str">
            <v>VERCELLI</v>
          </cell>
          <cell r="H2341" t="str">
            <v>VC</v>
          </cell>
          <cell r="I2341" t="str">
            <v>ITALIA</v>
          </cell>
          <cell r="J2341" t="str">
            <v>327-2934347</v>
          </cell>
        </row>
        <row r="2342">
          <cell r="B2342">
            <v>2048</v>
          </cell>
          <cell r="C2342" t="str">
            <v>STAR CO. S.R.L.</v>
          </cell>
          <cell r="D2342" t="str">
            <v>02169460025</v>
          </cell>
          <cell r="E2342" t="str">
            <v>VIA SEBASTIANO  FERRERO, 4</v>
          </cell>
          <cell r="F2342">
            <v>13900</v>
          </cell>
          <cell r="G2342" t="str">
            <v>BIELLA</v>
          </cell>
          <cell r="H2342" t="str">
            <v>BI</v>
          </cell>
          <cell r="I2342" t="str">
            <v>ITALIA</v>
          </cell>
          <cell r="J2342" t="str">
            <v>015-2520996</v>
          </cell>
        </row>
        <row r="2343">
          <cell r="B2343">
            <v>7224</v>
          </cell>
          <cell r="C2343" t="str">
            <v>STAZI VALERIA</v>
          </cell>
          <cell r="D2343" t="str">
            <v>STZVLR96H59H816 A</v>
          </cell>
          <cell r="E2343" t="str">
            <v>VIA PRA' DI TOS, 24</v>
          </cell>
          <cell r="F2343">
            <v>33030</v>
          </cell>
          <cell r="G2343" t="str">
            <v>BUJA</v>
          </cell>
          <cell r="H2343" t="str">
            <v>UD</v>
          </cell>
          <cell r="I2343" t="str">
            <v>ITALIA</v>
          </cell>
          <cell r="J2343" t="str">
            <v>331-7227955</v>
          </cell>
        </row>
        <row r="2344">
          <cell r="B2344">
            <v>4826</v>
          </cell>
          <cell r="C2344" t="str">
            <v>STAZIONE DI  SERVIZIO  ANTONELLA</v>
          </cell>
          <cell r="D2344" t="str">
            <v>03637350103</v>
          </cell>
          <cell r="E2344" t="str">
            <v>CORSO EUROPA, 1259</v>
          </cell>
          <cell r="F2344">
            <v>16148</v>
          </cell>
          <cell r="G2344" t="str">
            <v>GENOVA</v>
          </cell>
          <cell r="H2344" t="str">
            <v>GE</v>
          </cell>
          <cell r="I2344" t="str">
            <v>ITALIA</v>
          </cell>
          <cell r="J2344" t="str">
            <v>345-5994790</v>
          </cell>
        </row>
        <row r="2345">
          <cell r="B2345">
            <v>4378</v>
          </cell>
          <cell r="C2345" t="str">
            <v>STAZIONE DI  SERVIZIO ESSO DI  NECCHIO ADRIANO</v>
          </cell>
          <cell r="D2345" t="str">
            <v>10746270015 NCCDRN63S04E216 L</v>
          </cell>
          <cell r="E2345" t="str">
            <v>VIA VALDELLATORRE, 210</v>
          </cell>
          <cell r="F2345">
            <v>10091</v>
          </cell>
          <cell r="G2345" t="str">
            <v>ALPIGNANO</v>
          </cell>
          <cell r="H2345" t="str">
            <v>TO</v>
          </cell>
          <cell r="I2345" t="str">
            <v>ITALIA</v>
          </cell>
          <cell r="J2345" t="str">
            <v>338-9668087</v>
          </cell>
        </row>
        <row r="2346">
          <cell r="B2346">
            <v>4387</v>
          </cell>
          <cell r="C2346" t="str">
            <v>STAZIONE DI  SERVIZIO ESSO DI ROSSERO MARIO</v>
          </cell>
          <cell r="D2346" t="str">
            <v>04434750016 RSSMRA59P23L219 A</v>
          </cell>
          <cell r="E2346" t="str">
            <v>VIA TORINO, 41</v>
          </cell>
          <cell r="F2346">
            <v>10053</v>
          </cell>
          <cell r="G2346" t="str">
            <v>BUSSOLENO</v>
          </cell>
          <cell r="H2346" t="str">
            <v>TO</v>
          </cell>
          <cell r="I2346" t="str">
            <v>ITALIA</v>
          </cell>
          <cell r="J2346" t="str">
            <v>0122-49384</v>
          </cell>
        </row>
        <row r="2347">
          <cell r="B2347">
            <v>4367</v>
          </cell>
          <cell r="C2347" t="str">
            <v>STAZIONE DI  SERVIZIO PARA D &amp;  G S.N.C.</v>
          </cell>
          <cell r="D2347" t="str">
            <v>02518680042 02518680042</v>
          </cell>
          <cell r="E2347" t="str">
            <v>VIA CUNEO, 20</v>
          </cell>
          <cell r="F2347">
            <v>12037</v>
          </cell>
          <cell r="G2347" t="str">
            <v>SALUZZO</v>
          </cell>
          <cell r="H2347" t="str">
            <v>CN</v>
          </cell>
          <cell r="I2347" t="str">
            <v>ITALIA</v>
          </cell>
          <cell r="J2347" t="str">
            <v>0175-43426</v>
          </cell>
        </row>
        <row r="2348">
          <cell r="B2348">
            <v>4461</v>
          </cell>
          <cell r="C2348" t="str">
            <v>STAZIONE ESSO DI  CRAVERO PIERLUCA</v>
          </cell>
          <cell r="D2348" t="str">
            <v>08250950014 CRVPLC72S10L219 U</v>
          </cell>
          <cell r="E2348" t="str">
            <v>VIA GIAVENO, 36</v>
          </cell>
          <cell r="F2348">
            <v>10040</v>
          </cell>
          <cell r="G2348" t="str">
            <v>RIVALTA</v>
          </cell>
          <cell r="H2348" t="str">
            <v>TO</v>
          </cell>
          <cell r="I2348" t="str">
            <v>ITALIA</v>
          </cell>
          <cell r="J2348" t="str">
            <v xml:space="preserve">011-9004893 </v>
          </cell>
        </row>
        <row r="2349">
          <cell r="B2349">
            <v>3081</v>
          </cell>
          <cell r="C2349" t="str">
            <v>STAZIONE TAMOIL  DISTR.  CARBURANTI DI  BAU' FLORA</v>
          </cell>
          <cell r="D2349" t="str">
            <v>07087490012 BAUFLR65R70L787B</v>
          </cell>
          <cell r="E2349" t="str">
            <v>STRADA TORINO, 167</v>
          </cell>
          <cell r="F2349">
            <v>10034</v>
          </cell>
          <cell r="G2349" t="str">
            <v>CHIVASSO</v>
          </cell>
          <cell r="H2349" t="str">
            <v>TO</v>
          </cell>
          <cell r="I2349" t="str">
            <v>ITALIA</v>
          </cell>
          <cell r="J2349" t="str">
            <v xml:space="preserve">011-9102939 </v>
          </cell>
        </row>
        <row r="2350">
          <cell r="B2350">
            <v>1919</v>
          </cell>
          <cell r="C2350" t="str">
            <v>STB S.R.L.</v>
          </cell>
          <cell r="D2350" t="str">
            <v>02120140138 02120140138</v>
          </cell>
          <cell r="E2350" t="str">
            <v>VIA F. CASATI, 9</v>
          </cell>
          <cell r="F2350">
            <v>22040</v>
          </cell>
          <cell r="G2350" t="str">
            <v>BRENNA</v>
          </cell>
          <cell r="H2350" t="str">
            <v>CO</v>
          </cell>
          <cell r="I2350" t="str">
            <v>ITALIA</v>
          </cell>
          <cell r="J2350" t="str">
            <v>031-797146</v>
          </cell>
        </row>
        <row r="2351">
          <cell r="B2351">
            <v>8629</v>
          </cell>
          <cell r="C2351" t="str">
            <v>STCM S.A.S.</v>
          </cell>
          <cell r="E2351" t="str">
            <v>PIAZZA GARIBALDI, 4</v>
          </cell>
          <cell r="F2351">
            <v>20835</v>
          </cell>
          <cell r="G2351" t="str">
            <v>MUGGIO'</v>
          </cell>
          <cell r="H2351" t="str">
            <v>MB</v>
          </cell>
          <cell r="I2351" t="str">
            <v>ITALIA</v>
          </cell>
        </row>
        <row r="2352">
          <cell r="B2352">
            <v>4057</v>
          </cell>
          <cell r="C2352" t="str">
            <v>STE' CAFFE' DI  GIURAMENTO  STEFANIA</v>
          </cell>
          <cell r="D2352" t="str">
            <v>01572320099 GRMSFN78L58A662 R</v>
          </cell>
          <cell r="E2352" t="str">
            <v>FRAZ. S. VINCENZO LOC.  CROCCHE, 13</v>
          </cell>
          <cell r="F2352">
            <v>17020</v>
          </cell>
          <cell r="G2352" t="str">
            <v>STELLANELLO</v>
          </cell>
          <cell r="H2352" t="str">
            <v>SV</v>
          </cell>
          <cell r="I2352" t="str">
            <v>ITALIA</v>
          </cell>
          <cell r="J2352" t="str">
            <v>0182-89177</v>
          </cell>
        </row>
        <row r="2353">
          <cell r="B2353">
            <v>2118</v>
          </cell>
          <cell r="C2353" t="str">
            <v>STE.MA. S.A.S.</v>
          </cell>
          <cell r="D2353" t="str">
            <v>00944810092</v>
          </cell>
          <cell r="E2353" t="str">
            <v>CORSO ITALIA</v>
          </cell>
          <cell r="F2353">
            <v>17027</v>
          </cell>
          <cell r="G2353" t="str">
            <v>PIETRA LIGURE</v>
          </cell>
          <cell r="H2353" t="str">
            <v>SV</v>
          </cell>
          <cell r="I2353" t="str">
            <v>ITALIA</v>
          </cell>
          <cell r="J2353" t="str">
            <v>019-615823</v>
          </cell>
        </row>
        <row r="2354">
          <cell r="B2354">
            <v>7296</v>
          </cell>
          <cell r="C2354" t="str">
            <v>STEFANINI SILVIA</v>
          </cell>
          <cell r="D2354" t="str">
            <v>STFSLV92C57G804 P</v>
          </cell>
          <cell r="E2354" t="str">
            <v>VIA GRAMSCI, 29</v>
          </cell>
          <cell r="F2354">
            <v>56045</v>
          </cell>
          <cell r="G2354" t="str">
            <v>POMARANCE</v>
          </cell>
          <cell r="H2354" t="str">
            <v>PI</v>
          </cell>
          <cell r="I2354" t="str">
            <v>ITALIA</v>
          </cell>
          <cell r="J2354" t="str">
            <v>331-4774560</v>
          </cell>
        </row>
        <row r="2355">
          <cell r="B2355">
            <v>4495</v>
          </cell>
          <cell r="C2355" t="str">
            <v>STEFANO GULINO S. A.S  DI A. E  L.  GULINO &amp; C.</v>
          </cell>
          <cell r="D2355" t="str">
            <v>10783620015 10783620015</v>
          </cell>
          <cell r="E2355" t="str">
            <v>VIA CADUTI SUL LAVORO, 26</v>
          </cell>
          <cell r="F2355">
            <v>10094</v>
          </cell>
          <cell r="G2355" t="str">
            <v>GIAVENO</v>
          </cell>
          <cell r="H2355" t="str">
            <v>TO</v>
          </cell>
          <cell r="I2355" t="str">
            <v>ITALIA</v>
          </cell>
          <cell r="J2355" t="str">
            <v>011-9377367</v>
          </cell>
        </row>
        <row r="2356">
          <cell r="B2356">
            <v>7320</v>
          </cell>
          <cell r="C2356" t="str">
            <v>STEFFANELLI LUCIO</v>
          </cell>
          <cell r="D2356" t="str">
            <v>STFLCU78H07H264 K</v>
          </cell>
          <cell r="E2356" t="str">
            <v>VIA SANDRO PERTINI, 12</v>
          </cell>
          <cell r="F2356">
            <v>88060</v>
          </cell>
          <cell r="G2356" t="str">
            <v>ISCA SULLO  IONIO</v>
          </cell>
          <cell r="H2356" t="str">
            <v>CZ</v>
          </cell>
          <cell r="I2356" t="str">
            <v>ITALIA</v>
          </cell>
          <cell r="J2356" t="str">
            <v>329-4932850</v>
          </cell>
        </row>
        <row r="2357">
          <cell r="B2357">
            <v>2499</v>
          </cell>
          <cell r="C2357" t="str">
            <v>STEFY COFFEE</v>
          </cell>
          <cell r="D2357" t="str">
            <v>05237780969 BRRSFN74R42F205 A</v>
          </cell>
          <cell r="E2357" t="str">
            <v>VIA DON MINZONI, 7</v>
          </cell>
          <cell r="F2357">
            <v>20040</v>
          </cell>
          <cell r="G2357" t="str">
            <v>CAPONAGO</v>
          </cell>
          <cell r="H2357" t="str">
            <v>MI</v>
          </cell>
          <cell r="I2357" t="str">
            <v>ITALIA</v>
          </cell>
          <cell r="J2357" t="str">
            <v>333-2736619</v>
          </cell>
        </row>
        <row r="2358">
          <cell r="B2358">
            <v>3374</v>
          </cell>
          <cell r="C2358" t="str">
            <v>STEGMAR  SERVICE S.A.S DI  GAY STEFANO</v>
          </cell>
          <cell r="D2358" t="str">
            <v>09949740014 GYASFN85C26G674 L</v>
          </cell>
          <cell r="E2358" t="str">
            <v>BORGATA SARETTO, 19</v>
          </cell>
          <cell r="F2358">
            <v>10069</v>
          </cell>
          <cell r="G2358" t="str">
            <v>VILLAR PEROSA</v>
          </cell>
          <cell r="H2358" t="str">
            <v>TO</v>
          </cell>
          <cell r="I2358" t="str">
            <v>ITALIA</v>
          </cell>
          <cell r="J2358" t="str">
            <v>0121-514492</v>
          </cell>
        </row>
        <row r="2359">
          <cell r="B2359">
            <v>4898</v>
          </cell>
          <cell r="C2359" t="str">
            <v>STILMODEL S.A.S.  DI BERUTTO CARLO</v>
          </cell>
          <cell r="D2359" t="str">
            <v>11485040015 11485040015</v>
          </cell>
          <cell r="E2359" t="str">
            <v>VIA LEINI' 148/G</v>
          </cell>
          <cell r="F2359">
            <v>10036</v>
          </cell>
          <cell r="G2359" t="str">
            <v>SETTIMO  TORINESE</v>
          </cell>
          <cell r="H2359" t="str">
            <v>TO</v>
          </cell>
          <cell r="I2359" t="str">
            <v>ITALIA</v>
          </cell>
          <cell r="J2359" t="str">
            <v>011-0203963</v>
          </cell>
        </row>
        <row r="2360">
          <cell r="B2360">
            <v>5116</v>
          </cell>
          <cell r="C2360" t="str">
            <v>STILMODEL S.N. C. DEI F.LLI  GARBERO</v>
          </cell>
          <cell r="D2360" t="str">
            <v>07765880013</v>
          </cell>
          <cell r="E2360" t="str">
            <v>VIA LEINI 148/G</v>
          </cell>
          <cell r="F2360">
            <v>10036</v>
          </cell>
          <cell r="G2360" t="str">
            <v>SETTIMO  TORINESE</v>
          </cell>
          <cell r="H2360" t="str">
            <v>TO</v>
          </cell>
          <cell r="I2360" t="str">
            <v>ITALIA</v>
          </cell>
          <cell r="J2360" t="str">
            <v>011-8975943</v>
          </cell>
        </row>
        <row r="2361">
          <cell r="B2361">
            <v>7410</v>
          </cell>
          <cell r="C2361" t="str">
            <v>STIPA PIERLUIGI</v>
          </cell>
          <cell r="D2361" t="str">
            <v>STPPLG58T17A462 C</v>
          </cell>
          <cell r="E2361" t="str">
            <v>VIA RAGUSA 21</v>
          </cell>
          <cell r="F2361">
            <v>60126</v>
          </cell>
          <cell r="G2361" t="str">
            <v>ANCONA</v>
          </cell>
          <cell r="H2361" t="str">
            <v>AN</v>
          </cell>
          <cell r="I2361" t="str">
            <v>ITALIA</v>
          </cell>
          <cell r="J2361" t="str">
            <v>390-71281185</v>
          </cell>
        </row>
        <row r="2362">
          <cell r="B2362">
            <v>5516</v>
          </cell>
          <cell r="C2362" t="str">
            <v>STOP &amp; GO S.R.L.</v>
          </cell>
          <cell r="D2362" t="str">
            <v>02440490130 02440490130</v>
          </cell>
          <cell r="E2362" t="str">
            <v>CORSO EMANUELE  FILIBERTO, 74</v>
          </cell>
          <cell r="F2362">
            <v>23900</v>
          </cell>
          <cell r="G2362" t="str">
            <v>LECCO</v>
          </cell>
          <cell r="H2362" t="str">
            <v>LC</v>
          </cell>
          <cell r="I2362" t="str">
            <v>ITALIA</v>
          </cell>
          <cell r="J2362" t="str">
            <v xml:space="preserve">0341-250237 </v>
          </cell>
        </row>
        <row r="2363">
          <cell r="B2363">
            <v>4027</v>
          </cell>
          <cell r="C2363" t="str">
            <v>STOP AND GO  DI GHIO PAOLA</v>
          </cell>
          <cell r="D2363" t="str">
            <v>06797500961 GHIPLA62C70F205J</v>
          </cell>
          <cell r="E2363" t="str">
            <v>VIA MADONNA,  31</v>
          </cell>
          <cell r="F2363">
            <v>20021</v>
          </cell>
          <cell r="G2363" t="str">
            <v>CASSINA  NUOVA DI  BOLLATE</v>
          </cell>
          <cell r="H2363" t="str">
            <v>MI</v>
          </cell>
          <cell r="I2363" t="str">
            <v>ITALIA</v>
          </cell>
          <cell r="J2363" t="str">
            <v>338-65722928</v>
          </cell>
        </row>
        <row r="2364">
          <cell r="B2364">
            <v>7211</v>
          </cell>
          <cell r="C2364" t="str">
            <v>STOPPA GABRIELE</v>
          </cell>
          <cell r="D2364" t="str">
            <v>STPGRL57A07G923 D</v>
          </cell>
          <cell r="E2364" t="str">
            <v>VIA RONCHETTO, 1/F</v>
          </cell>
          <cell r="F2364">
            <v>28047</v>
          </cell>
          <cell r="G2364" t="str">
            <v>OLEGGIO</v>
          </cell>
          <cell r="H2364" t="str">
            <v>NO</v>
          </cell>
          <cell r="I2364" t="str">
            <v>ITALIA</v>
          </cell>
          <cell r="J2364" t="str">
            <v>338-9654155</v>
          </cell>
        </row>
        <row r="2365">
          <cell r="B2365">
            <v>6856</v>
          </cell>
          <cell r="C2365" t="str">
            <v>STORIE DI CAFFE'  DI MARCO  FAVARETTO</v>
          </cell>
          <cell r="D2365" t="str">
            <v>02280940996 FVRMRC74D05D325 A</v>
          </cell>
          <cell r="E2365" t="str">
            <v>VIA DELLA LIBERTA', 11R</v>
          </cell>
          <cell r="F2365">
            <v>16129</v>
          </cell>
          <cell r="G2365" t="str">
            <v>GENOVA</v>
          </cell>
          <cell r="H2365" t="str">
            <v>GE</v>
          </cell>
          <cell r="I2365" t="str">
            <v>ITALIA</v>
          </cell>
          <cell r="J2365" t="str">
            <v>338-5456982</v>
          </cell>
        </row>
        <row r="2366">
          <cell r="B2366">
            <v>7393</v>
          </cell>
          <cell r="C2366" t="str">
            <v>STP MASELLI &amp;  RIZZI SNC</v>
          </cell>
          <cell r="D2366" t="str">
            <v>01522690088</v>
          </cell>
          <cell r="E2366" t="str">
            <v>VIA MAZZINI 13</v>
          </cell>
          <cell r="F2366">
            <v>18039</v>
          </cell>
          <cell r="G2366" t="str">
            <v>VENTIMIGLIA</v>
          </cell>
          <cell r="H2366" t="str">
            <v>IM</v>
          </cell>
          <cell r="I2366" t="str">
            <v>ITALIA</v>
          </cell>
          <cell r="J2366"/>
        </row>
        <row r="2367">
          <cell r="B2367">
            <v>3525</v>
          </cell>
          <cell r="C2367" t="str">
            <v>STREETPOINTSHOP  DI VERDE IVANO</v>
          </cell>
          <cell r="D2367" t="str">
            <v>02322520814 VRDMSM77H08F704 F</v>
          </cell>
          <cell r="E2367" t="str">
            <v>VIA VILLA RACHELE, 7</v>
          </cell>
          <cell r="F2367">
            <v>20092</v>
          </cell>
          <cell r="G2367" t="str">
            <v>CINISELLO  BALSAMO</v>
          </cell>
          <cell r="H2367" t="str">
            <v>MI</v>
          </cell>
          <cell r="I2367" t="str">
            <v>ITALIA</v>
          </cell>
          <cell r="J2367" t="str">
            <v>347-9310541</v>
          </cell>
        </row>
        <row r="2368">
          <cell r="B2368">
            <v>7537</v>
          </cell>
          <cell r="C2368" t="str">
            <v>STRUMMIELLO ANNA</v>
          </cell>
          <cell r="D2368" t="str">
            <v>STRNNA65R66I119 V</v>
          </cell>
          <cell r="E2368" t="str">
            <v>VIA PALMA, 20</v>
          </cell>
          <cell r="F2368">
            <v>72020</v>
          </cell>
          <cell r="G2368" t="str">
            <v>TORCHIAROLO</v>
          </cell>
          <cell r="H2368" t="str">
            <v>BR</v>
          </cell>
          <cell r="I2368" t="str">
            <v>ITALIA</v>
          </cell>
          <cell r="J2368" t="str">
            <v>346-2239089</v>
          </cell>
        </row>
        <row r="2369">
          <cell r="B2369">
            <v>7010</v>
          </cell>
          <cell r="C2369" t="str">
            <v>STUCCHI SILVIO</v>
          </cell>
          <cell r="D2369" t="str">
            <v>STCSLV56C26B671 N</v>
          </cell>
          <cell r="E2369" t="str">
            <v>VIA VITTORIO EMANUELE,  52</v>
          </cell>
          <cell r="F2369">
            <v>20867</v>
          </cell>
          <cell r="G2369" t="str">
            <v>CAPONAGO</v>
          </cell>
          <cell r="H2369" t="str">
            <v>MB</v>
          </cell>
          <cell r="I2369" t="str">
            <v>ITALIA</v>
          </cell>
          <cell r="J2369" t="str">
            <v>338-8455563</v>
          </cell>
        </row>
        <row r="2370">
          <cell r="B2370">
            <v>7338</v>
          </cell>
          <cell r="C2370" t="str">
            <v>STUDIO INTARSIO  SRL</v>
          </cell>
          <cell r="D2370" t="str">
            <v>04483570166</v>
          </cell>
          <cell r="E2370" t="str">
            <v>PIAZZALE DEI BREVETTI  17</v>
          </cell>
          <cell r="F2370">
            <v>24040</v>
          </cell>
          <cell r="G2370" t="str">
            <v>PAGAZZANO</v>
          </cell>
          <cell r="H2370" t="str">
            <v>BG</v>
          </cell>
          <cell r="I2370" t="str">
            <v>ITALIA</v>
          </cell>
          <cell r="J2370" t="str">
            <v>338-6272318</v>
          </cell>
        </row>
        <row r="2371">
          <cell r="B2371">
            <v>7449</v>
          </cell>
          <cell r="C2371" t="str">
            <v>STUDIO MULTARI</v>
          </cell>
          <cell r="D2371" t="str">
            <v>11061301005</v>
          </cell>
          <cell r="E2371" t="str">
            <v>VIA BONCOMPAGNI 79,  PIANO 4 SCALA A</v>
          </cell>
          <cell r="F2371">
            <v>187</v>
          </cell>
          <cell r="G2371" t="str">
            <v>ROMA</v>
          </cell>
          <cell r="H2371" t="str">
            <v>RM</v>
          </cell>
          <cell r="I2371" t="str">
            <v>ITALIA</v>
          </cell>
          <cell r="J2371" t="str">
            <v>06-4463176</v>
          </cell>
        </row>
        <row r="2372">
          <cell r="B2372">
            <v>7126</v>
          </cell>
          <cell r="C2372" t="str">
            <v>STUDIO TENDE S.R. L.</v>
          </cell>
          <cell r="D2372" t="str">
            <v>03072900016</v>
          </cell>
          <cell r="E2372" t="str">
            <v>STR. SETTIMO, 113/C</v>
          </cell>
          <cell r="F2372">
            <v>10156</v>
          </cell>
          <cell r="G2372" t="str">
            <v>TORINO</v>
          </cell>
          <cell r="H2372" t="str">
            <v>TO</v>
          </cell>
          <cell r="I2372" t="str">
            <v>ITALIA</v>
          </cell>
          <cell r="J2372" t="str">
            <v>011-2238159</v>
          </cell>
        </row>
        <row r="2373">
          <cell r="B2373">
            <v>3499</v>
          </cell>
          <cell r="C2373" t="str">
            <v>STUDIO ZUNINO  ASSOCIAZIONE  PROFESSIONALE</v>
          </cell>
          <cell r="D2373" t="str">
            <v>07232210018 07232210018</v>
          </cell>
          <cell r="E2373" t="str">
            <v>CORSO STATI UNITI, 41</v>
          </cell>
          <cell r="F2373">
            <v>10129</v>
          </cell>
          <cell r="G2373" t="str">
            <v>TORINO</v>
          </cell>
          <cell r="H2373" t="str">
            <v>TO</v>
          </cell>
          <cell r="I2373" t="str">
            <v>ITALIA</v>
          </cell>
          <cell r="J2373" t="str">
            <v>011-5623806</v>
          </cell>
        </row>
        <row r="2374">
          <cell r="B2374">
            <v>1883</v>
          </cell>
          <cell r="C2374" t="str">
            <v>STYLCASA DI  ANTONIO PALERMO</v>
          </cell>
          <cell r="D2374" t="str">
            <v>02071820027 PLRNTN57C16B041F</v>
          </cell>
          <cell r="E2374" t="str">
            <v>VIA XI SETTEMBRE, 33</v>
          </cell>
          <cell r="F2374">
            <v>13037</v>
          </cell>
          <cell r="G2374" t="str">
            <v>SERRAVALLE  SESIA</v>
          </cell>
          <cell r="H2374" t="str">
            <v>VC</v>
          </cell>
          <cell r="I2374" t="str">
            <v>ITALIA</v>
          </cell>
          <cell r="J2374" t="str">
            <v>0163-450490</v>
          </cell>
        </row>
        <row r="2375">
          <cell r="B2375">
            <v>4095</v>
          </cell>
          <cell r="C2375" t="str">
            <v>SUBASSAI</v>
          </cell>
          <cell r="D2375" t="str">
            <v>95043850106</v>
          </cell>
          <cell r="E2375" t="str">
            <v>P.ZZA SCHIAFFINO, 6</v>
          </cell>
          <cell r="F2375">
            <v>16100</v>
          </cell>
          <cell r="G2375" t="str">
            <v>GENOVA</v>
          </cell>
          <cell r="H2375" t="str">
            <v>GE</v>
          </cell>
          <cell r="I2375" t="str">
            <v>ITALIA</v>
          </cell>
          <cell r="J2375" t="str">
            <v>010-2476824</v>
          </cell>
        </row>
        <row r="2376">
          <cell r="B2376">
            <v>6486</v>
          </cell>
          <cell r="C2376" t="str">
            <v>SUMERI S.R.L.</v>
          </cell>
          <cell r="D2376" t="str">
            <v>02697220909 02697220909</v>
          </cell>
          <cell r="E2376" t="str">
            <v>VIA EMILIO LUSSU, 7</v>
          </cell>
          <cell r="F2376">
            <v>7046</v>
          </cell>
          <cell r="G2376" t="str">
            <v>PORTO TORRES</v>
          </cell>
          <cell r="H2376" t="str">
            <v>SS</v>
          </cell>
          <cell r="I2376" t="str">
            <v>ITALIA</v>
          </cell>
          <cell r="J2376" t="str">
            <v>329-1217661</v>
          </cell>
        </row>
        <row r="2377">
          <cell r="B2377">
            <v>3933</v>
          </cell>
          <cell r="C2377" t="str">
            <v>SUN VENDING S.R.L.</v>
          </cell>
          <cell r="D2377" t="str">
            <v>02507710594 02507710594</v>
          </cell>
          <cell r="E2377" t="str">
            <v>VIA VOLSINI, 13</v>
          </cell>
          <cell r="F2377">
            <v>4100</v>
          </cell>
          <cell r="G2377" t="str">
            <v>LATINA</v>
          </cell>
          <cell r="H2377" t="str">
            <v>LT</v>
          </cell>
          <cell r="I2377" t="str">
            <v>ITALIA</v>
          </cell>
          <cell r="J2377" t="str">
            <v>06-96883163</v>
          </cell>
        </row>
        <row r="2378">
          <cell r="B2378">
            <v>3351</v>
          </cell>
          <cell r="C2378" t="str">
            <v>SUPERCHEMICAL  DI BRUNO CLAUDIO</v>
          </cell>
          <cell r="D2378" t="str">
            <v>07184660012 BRNCLD64M11L219 S</v>
          </cell>
          <cell r="E2378" t="str">
            <v>VIA BELLUCCO, 44</v>
          </cell>
          <cell r="F2378">
            <v>10078</v>
          </cell>
          <cell r="G2378" t="str">
            <v>VENARIA</v>
          </cell>
          <cell r="H2378" t="str">
            <v>TO</v>
          </cell>
          <cell r="I2378" t="str">
            <v>ITALIA</v>
          </cell>
          <cell r="J2378" t="str">
            <v>339-3848587</v>
          </cell>
        </row>
        <row r="2379">
          <cell r="B2379">
            <v>7878</v>
          </cell>
          <cell r="C2379" t="str">
            <v>SUPERSHOP S.R.L.</v>
          </cell>
          <cell r="E2379" t="str">
            <v>VIA LUNGOBISAGNO ISTRIA, 21R</v>
          </cell>
          <cell r="F2379">
            <v>16141</v>
          </cell>
          <cell r="G2379" t="str">
            <v>GENOVA</v>
          </cell>
          <cell r="H2379" t="str">
            <v>GE</v>
          </cell>
          <cell r="I2379" t="str">
            <v>ITALIA</v>
          </cell>
          <cell r="J2379" t="str">
            <v>334-3621428</v>
          </cell>
        </row>
        <row r="2380">
          <cell r="B2380">
            <v>8018</v>
          </cell>
          <cell r="C2380" t="str">
            <v>SUPERSHOP SESTO S.R.L.</v>
          </cell>
          <cell r="E2380" t="str">
            <v>VIA FELICE CAVALLOTTI, 156</v>
          </cell>
          <cell r="F2380">
            <v>20093</v>
          </cell>
          <cell r="G2380" t="str">
            <v>COLOGNO MONZESE</v>
          </cell>
          <cell r="H2380" t="str">
            <v>MI</v>
          </cell>
          <cell r="I2380" t="str">
            <v>ITALIA</v>
          </cell>
          <cell r="J2380" t="str">
            <v>333-9221993</v>
          </cell>
        </row>
        <row r="2381">
          <cell r="B2381">
            <v>8019</v>
          </cell>
          <cell r="C2381" t="str">
            <v>SUPERSHOP SESTO S.R.L.</v>
          </cell>
          <cell r="E2381" t="str">
            <v>VIALE ANTONIO GRAMSCI, 233</v>
          </cell>
          <cell r="F2381">
            <v>20099</v>
          </cell>
          <cell r="G2381" t="str">
            <v>SESTO SAN GIOVANNI</v>
          </cell>
          <cell r="H2381" t="str">
            <v>MI</v>
          </cell>
          <cell r="I2381" t="str">
            <v>ITALIA</v>
          </cell>
          <cell r="J2381" t="str">
            <v>333-9221993</v>
          </cell>
        </row>
        <row r="2382">
          <cell r="B2382">
            <v>8020</v>
          </cell>
          <cell r="C2382" t="str">
            <v>SUPERSHOP SESTO SRL</v>
          </cell>
          <cell r="E2382" t="str">
            <v>VIA G.B. BERIZZI, 1</v>
          </cell>
          <cell r="F2382">
            <v>24123</v>
          </cell>
          <cell r="G2382" t="str">
            <v>BERGAMO</v>
          </cell>
          <cell r="H2382" t="str">
            <v>BG</v>
          </cell>
          <cell r="I2382" t="str">
            <v>ITALIA</v>
          </cell>
          <cell r="J2382" t="str">
            <v>333-9221993</v>
          </cell>
        </row>
        <row r="2383">
          <cell r="B2383">
            <v>7444</v>
          </cell>
          <cell r="C2383" t="str">
            <v>SURIANO SAS DI  SURIANO FABRIZIO</v>
          </cell>
          <cell r="D2383" t="str">
            <v>05353470015 SRNFRZ76P08F335E</v>
          </cell>
          <cell r="E2383" t="str">
            <v>CORSO ROMA, 5</v>
          </cell>
          <cell r="F2383">
            <v>10024</v>
          </cell>
          <cell r="G2383" t="str">
            <v>MONCALIERI</v>
          </cell>
          <cell r="H2383" t="str">
            <v>TO</v>
          </cell>
          <cell r="I2383" t="str">
            <v>ITALIA</v>
          </cell>
          <cell r="J2383" t="str">
            <v>392-2387757</v>
          </cell>
        </row>
        <row r="2384">
          <cell r="B2384">
            <v>7270</v>
          </cell>
          <cell r="C2384" t="str">
            <v>SUSCA FLORA</v>
          </cell>
          <cell r="D2384" t="str">
            <v>SSCFLR76A64L780H</v>
          </cell>
          <cell r="E2384" t="str">
            <v>VIA MARIA GIUDICE 65</v>
          </cell>
          <cell r="F2384">
            <v>135</v>
          </cell>
          <cell r="G2384" t="str">
            <v>ROMA</v>
          </cell>
          <cell r="H2384" t="str">
            <v>RM</v>
          </cell>
          <cell r="I2384" t="str">
            <v>ITALIA</v>
          </cell>
          <cell r="J2384" t="str">
            <v>338-9414597</v>
          </cell>
        </row>
        <row r="2385">
          <cell r="B2385">
            <v>155</v>
          </cell>
          <cell r="C2385" t="str">
            <v>SUSENA VITTORIO</v>
          </cell>
          <cell r="D2385" t="str">
            <v>00374480036 SSNVTR45D26A725 Q</v>
          </cell>
          <cell r="E2385" t="str">
            <v>VIA CAIROLI, 34</v>
          </cell>
          <cell r="F2385">
            <v>28042</v>
          </cell>
          <cell r="G2385" t="str">
            <v>BAVENO</v>
          </cell>
          <cell r="H2385" t="str">
            <v>VB</v>
          </cell>
          <cell r="I2385" t="str">
            <v>ITALIA</v>
          </cell>
          <cell r="J2385" t="str">
            <v>0323-924807</v>
          </cell>
        </row>
        <row r="2386">
          <cell r="B2386">
            <v>4230</v>
          </cell>
          <cell r="C2386" t="str">
            <v>SWEET COFFEE DI  SCIGLIANO</v>
          </cell>
          <cell r="D2386" t="str">
            <v>02333350037 SCGFNC70H26A912 E</v>
          </cell>
          <cell r="E2386" t="str">
            <v>VIA TORELLI, 31</v>
          </cell>
          <cell r="F2386">
            <v>28100</v>
          </cell>
          <cell r="G2386" t="str">
            <v>NOVARA</v>
          </cell>
          <cell r="H2386" t="str">
            <v>NO</v>
          </cell>
          <cell r="I2386" t="str">
            <v>ITALIA</v>
          </cell>
          <cell r="J2386" t="str">
            <v>346-4943895</v>
          </cell>
        </row>
        <row r="2387">
          <cell r="B2387">
            <v>2591</v>
          </cell>
          <cell r="C2387" t="str">
            <v>SWEET COFFEE S.R. L.</v>
          </cell>
          <cell r="D2387" t="str">
            <v>05226920964 05226920964</v>
          </cell>
          <cell r="E2387" t="str">
            <v>VIA G. MATTEOTTI, 17</v>
          </cell>
          <cell r="F2387">
            <v>20095</v>
          </cell>
          <cell r="G2387" t="str">
            <v>CUSANO  MILANINO</v>
          </cell>
          <cell r="H2387" t="str">
            <v>MI</v>
          </cell>
          <cell r="I2387" t="str">
            <v>ITALIA</v>
          </cell>
          <cell r="J2387" t="str">
            <v xml:space="preserve">02-45486836 </v>
          </cell>
        </row>
        <row r="2388">
          <cell r="B2388">
            <v>6957</v>
          </cell>
          <cell r="C2388" t="str">
            <v>SYSTEM SERVICE S. A.S.</v>
          </cell>
          <cell r="D2388" t="str">
            <v>10035810018 10035810018</v>
          </cell>
          <cell r="E2388" t="str">
            <v>VIA MONTEVIDEO, 10</v>
          </cell>
          <cell r="F2388">
            <v>10134</v>
          </cell>
          <cell r="G2388" t="str">
            <v>TORINO</v>
          </cell>
          <cell r="H2388" t="str">
            <v>TO</v>
          </cell>
          <cell r="I2388" t="str">
            <v>ITALIA</v>
          </cell>
          <cell r="J2388" t="str">
            <v>011-3119128</v>
          </cell>
        </row>
        <row r="2389">
          <cell r="B2389">
            <v>5570</v>
          </cell>
          <cell r="C2389" t="str">
            <v>T SERVICE S.A.S.  DI P. TARTAGLIONE  E C.</v>
          </cell>
          <cell r="D2389" t="str">
            <v>01710400068 01710400068</v>
          </cell>
          <cell r="E2389" t="str">
            <v>VIA DEI FIORI, 4</v>
          </cell>
          <cell r="F2389">
            <v>15060</v>
          </cell>
          <cell r="G2389" t="str">
            <v>BASALUZZO</v>
          </cell>
          <cell r="H2389" t="str">
            <v>AL</v>
          </cell>
          <cell r="I2389" t="str">
            <v>ITALIA</v>
          </cell>
          <cell r="J2389" t="str">
            <v xml:space="preserve">0131-823544 </v>
          </cell>
        </row>
        <row r="2390">
          <cell r="B2390">
            <v>4707</v>
          </cell>
          <cell r="C2390" t="str">
            <v>T.D.A. FOOD  SERVICE DI  TALLARINI IVAN</v>
          </cell>
          <cell r="D2390" t="str">
            <v>02183130505</v>
          </cell>
          <cell r="E2390" t="str">
            <v>VIA AMEDEO,136</v>
          </cell>
          <cell r="F2390">
            <v>56019</v>
          </cell>
          <cell r="G2390" t="str">
            <v>NODICA -VECCHIANO</v>
          </cell>
          <cell r="H2390" t="str">
            <v>PI</v>
          </cell>
          <cell r="I2390" t="str">
            <v>ITALIA</v>
          </cell>
          <cell r="J2390" t="str">
            <v>345-3689172</v>
          </cell>
        </row>
        <row r="2391">
          <cell r="B2391">
            <v>4867</v>
          </cell>
          <cell r="C2391" t="str">
            <v>T.M. S.R.L.  TORREFAZIONE DEI  F.LLI MORANDINI</v>
          </cell>
          <cell r="D2391" t="str">
            <v>01992780989 01632300982</v>
          </cell>
          <cell r="E2391" t="str">
            <v>VIA RUC, 1/C</v>
          </cell>
          <cell r="F2391">
            <v>25040</v>
          </cell>
          <cell r="G2391" t="str">
            <v>PLEMO DI ESINE</v>
          </cell>
          <cell r="H2391" t="str">
            <v>BS</v>
          </cell>
          <cell r="I2391" t="str">
            <v>ITALIA</v>
          </cell>
          <cell r="J2391" t="str">
            <v>0364-360661</v>
          </cell>
        </row>
        <row r="2392">
          <cell r="B2392">
            <v>3223</v>
          </cell>
          <cell r="C2392" t="str">
            <v>T.M.F. DENTAL SAS  DI TERZI MARCO &amp;  C.</v>
          </cell>
          <cell r="D2392" t="str">
            <v>10907120157 10907120157</v>
          </cell>
          <cell r="E2392" t="str">
            <v>VIA CADUTI BOLLATESI,  15</v>
          </cell>
          <cell r="F2392">
            <v>20021</v>
          </cell>
          <cell r="G2392" t="str">
            <v>BOLLATE</v>
          </cell>
          <cell r="H2392" t="str">
            <v>MI</v>
          </cell>
          <cell r="I2392" t="str">
            <v>ITALIA</v>
          </cell>
          <cell r="J2392" t="str">
            <v>02-33301079</v>
          </cell>
        </row>
        <row r="2393">
          <cell r="B2393">
            <v>6505</v>
          </cell>
          <cell r="C2393" t="str">
            <v>T.S. SERVICE S.R.L.</v>
          </cell>
          <cell r="D2393" t="str">
            <v>09806460961 09806460961</v>
          </cell>
          <cell r="E2393" t="str">
            <v>VIA ROMA, 41</v>
          </cell>
          <cell r="F2393">
            <v>20010</v>
          </cell>
          <cell r="G2393" t="str">
            <v>VANZAGO</v>
          </cell>
          <cell r="H2393" t="str">
            <v>MI</v>
          </cell>
          <cell r="I2393" t="str">
            <v>ITALIA</v>
          </cell>
        </row>
        <row r="2394">
          <cell r="B2394">
            <v>4861</v>
          </cell>
          <cell r="C2394" t="str">
            <v>TA.CA S.N.C. DI  TROMBETTA A. E  CAMORCIA A.</v>
          </cell>
          <cell r="D2394" t="str">
            <v>11539400017 11539400017</v>
          </cell>
          <cell r="E2394" t="str">
            <v>VIA ASIAGO, 45/A</v>
          </cell>
          <cell r="F2394">
            <v>10100</v>
          </cell>
          <cell r="G2394" t="str">
            <v>TORINO</v>
          </cell>
          <cell r="H2394" t="str">
            <v>TO</v>
          </cell>
          <cell r="I2394" t="str">
            <v>ITALIA</v>
          </cell>
          <cell r="J2394" t="str">
            <v>348-9348536</v>
          </cell>
        </row>
        <row r="2395">
          <cell r="B2395">
            <v>7292</v>
          </cell>
          <cell r="C2395" t="str">
            <v>TABACCHERIA  CENTOCCHI  STEFANIA</v>
          </cell>
          <cell r="D2395" t="str">
            <v>10898310015 CNTSFN91E46L219I</v>
          </cell>
          <cell r="E2395" t="str">
            <v>VIA SAN MASSIMO 1</v>
          </cell>
          <cell r="F2395">
            <v>10123</v>
          </cell>
          <cell r="G2395" t="str">
            <v>TORINO</v>
          </cell>
          <cell r="H2395" t="str">
            <v>TO</v>
          </cell>
          <cell r="I2395" t="str">
            <v>ITALIA</v>
          </cell>
          <cell r="J2395" t="str">
            <v>011-885078</v>
          </cell>
        </row>
        <row r="2396">
          <cell r="B2396">
            <v>3485</v>
          </cell>
          <cell r="C2396" t="str">
            <v>TABACCHERIA  COMINELLI ELISA  RIVENDITA N. 2</v>
          </cell>
          <cell r="D2396" t="str">
            <v>01507640181 CMNLSE72L62F952E</v>
          </cell>
          <cell r="E2396" t="str">
            <v>PIAZZA LIBERTA', 17</v>
          </cell>
          <cell r="F2396">
            <v>27038</v>
          </cell>
          <cell r="G2396" t="str">
            <v>ROBBIO</v>
          </cell>
          <cell r="H2396" t="str">
            <v>PV</v>
          </cell>
          <cell r="I2396" t="str">
            <v>ITALIA</v>
          </cell>
          <cell r="J2396" t="str">
            <v>0384-672121</v>
          </cell>
        </row>
        <row r="2397">
          <cell r="B2397">
            <v>6866</v>
          </cell>
          <cell r="C2397" t="str">
            <v>TABACCHERIA  MACHT POINT DI  GIROLIMETTI LUCA</v>
          </cell>
          <cell r="D2397" t="str">
            <v>07932520963</v>
          </cell>
          <cell r="E2397" t="str">
            <v>PIAZZA MATTEOTI, 2</v>
          </cell>
          <cell r="F2397">
            <v>20037</v>
          </cell>
          <cell r="G2397" t="str">
            <v>PADERNO  DUGNANO</v>
          </cell>
          <cell r="H2397" t="str">
            <v>MI</v>
          </cell>
          <cell r="I2397" t="str">
            <v>ITALIA</v>
          </cell>
          <cell r="J2397" t="str">
            <v xml:space="preserve">02-918167 </v>
          </cell>
        </row>
        <row r="2398">
          <cell r="B2398">
            <v>4926</v>
          </cell>
          <cell r="C2398" t="str">
            <v>TABACCHERIA  MAZZINI DI  MAZZINI SIMONE</v>
          </cell>
          <cell r="D2398" t="str">
            <v>10576040017 MZZSMN90T11L219 H</v>
          </cell>
          <cell r="E2398" t="str">
            <v>VIA RIETI, 43/B</v>
          </cell>
          <cell r="F2398">
            <v>10100</v>
          </cell>
          <cell r="G2398" t="str">
            <v>TORINO</v>
          </cell>
          <cell r="H2398" t="str">
            <v>TO</v>
          </cell>
          <cell r="I2398" t="str">
            <v>ITALIA</v>
          </cell>
          <cell r="J2398" t="str">
            <v xml:space="preserve">011-4115854 </v>
          </cell>
        </row>
        <row r="2399">
          <cell r="B2399">
            <v>10080</v>
          </cell>
          <cell r="C2399" t="str">
            <v>TABACCHERIA GRATTACIELO DI MICHELE GALLUCCI</v>
          </cell>
          <cell r="E2399" t="str">
            <v>PIAZZA RENATO SIMONI, 15</v>
          </cell>
          <cell r="F2399">
            <v>37122</v>
          </cell>
          <cell r="G2399" t="str">
            <v>VERONA</v>
          </cell>
          <cell r="H2399" t="str">
            <v>VR</v>
          </cell>
          <cell r="I2399" t="str">
            <v>ITALIA</v>
          </cell>
          <cell r="J2399" t="str">
            <v>348-3655860</v>
          </cell>
        </row>
        <row r="2400">
          <cell r="B2400">
            <v>7090</v>
          </cell>
          <cell r="C2400" t="str">
            <v>TABANELLA BRUNA</v>
          </cell>
          <cell r="D2400" t="str">
            <v>TBNBRN61E49H501 X</v>
          </cell>
          <cell r="E2400" t="str">
            <v>VIA MONGINEVRA, 20</v>
          </cell>
          <cell r="F2400">
            <v>141</v>
          </cell>
          <cell r="G2400" t="str">
            <v>ROMA</v>
          </cell>
          <cell r="H2400" t="str">
            <v>RM</v>
          </cell>
          <cell r="I2400" t="str">
            <v>ITALIA</v>
          </cell>
          <cell r="J2400" t="str">
            <v>338-8690710</v>
          </cell>
        </row>
        <row r="2401">
          <cell r="B2401">
            <v>7072</v>
          </cell>
          <cell r="C2401" t="str">
            <v>TABIKH AHMED</v>
          </cell>
          <cell r="D2401" t="str">
            <v>12198090016 TBKHMD97P17Z336 O</v>
          </cell>
          <cell r="E2401" t="str">
            <v>VIA I MAGGIO, 20</v>
          </cell>
          <cell r="F2401">
            <v>10062</v>
          </cell>
          <cell r="G2401" t="str">
            <v>LUSERNA SAN  GIOVANNI</v>
          </cell>
          <cell r="H2401" t="str">
            <v>TO</v>
          </cell>
          <cell r="I2401" t="str">
            <v>ITALIA</v>
          </cell>
        </row>
        <row r="2402">
          <cell r="B2402">
            <v>2635</v>
          </cell>
          <cell r="C2402" t="str">
            <v>TAGLIETTI GIORGIO</v>
          </cell>
          <cell r="D2402" t="str">
            <v>01640210181 TGLGRG68A26G388 V</v>
          </cell>
          <cell r="E2402" t="str">
            <v>VIA BRAMBILLA, 26</v>
          </cell>
          <cell r="F2402">
            <v>27100</v>
          </cell>
          <cell r="G2402" t="str">
            <v>PAVIA</v>
          </cell>
          <cell r="H2402" t="str">
            <v>PV</v>
          </cell>
          <cell r="I2402" t="str">
            <v>ITALIA</v>
          </cell>
          <cell r="J2402" t="str">
            <v>0382-422691</v>
          </cell>
        </row>
        <row r="2403">
          <cell r="B2403">
            <v>6446</v>
          </cell>
          <cell r="C2403" t="str">
            <v>TAKE A BREAK  DI DI GIUSEPPE  VLADIMIRO</v>
          </cell>
          <cell r="D2403" t="str">
            <v>09277360963 DGSVDM73R06E038 F</v>
          </cell>
          <cell r="E2403" t="str">
            <v>VIA FORZE ARMATE, 50</v>
          </cell>
          <cell r="F2403">
            <v>20147</v>
          </cell>
          <cell r="G2403" t="str">
            <v>MILANO</v>
          </cell>
          <cell r="H2403" t="str">
            <v>MI</v>
          </cell>
          <cell r="I2403" t="str">
            <v>ITALIA</v>
          </cell>
          <cell r="J2403" t="str">
            <v>338-5822420</v>
          </cell>
        </row>
        <row r="2404">
          <cell r="B2404">
            <v>6571</v>
          </cell>
          <cell r="C2404" t="str">
            <v>TAKE A BREAK DI  ROBERTA TAGINI</v>
          </cell>
          <cell r="D2404" t="str">
            <v>04241720160 TGNRRT98E47F205 K</v>
          </cell>
          <cell r="E2404" t="str">
            <v>VIA BORGO CANALE, 25</v>
          </cell>
          <cell r="F2404">
            <v>24129</v>
          </cell>
          <cell r="G2404" t="str">
            <v>BERGAMO</v>
          </cell>
          <cell r="H2404" t="str">
            <v>BG</v>
          </cell>
          <cell r="I2404" t="str">
            <v>ITALIA</v>
          </cell>
          <cell r="J2404" t="str">
            <v>348-2329466</v>
          </cell>
        </row>
        <row r="2405">
          <cell r="B2405">
            <v>4770</v>
          </cell>
          <cell r="C2405" t="str">
            <v>TAMA S.R.L.</v>
          </cell>
          <cell r="D2405" t="str">
            <v>00819420969 06219920151</v>
          </cell>
          <cell r="E2405" t="str">
            <v>VIA DON MINZONI, 7</v>
          </cell>
          <cell r="F2405">
            <v>20826</v>
          </cell>
          <cell r="G2405" t="str">
            <v>MISINTO</v>
          </cell>
          <cell r="H2405" t="str">
            <v>MB</v>
          </cell>
          <cell r="I2405" t="str">
            <v>ITALIA</v>
          </cell>
          <cell r="J2405" t="str">
            <v>02-96328667</v>
          </cell>
        </row>
        <row r="2406">
          <cell r="B2406">
            <v>4519</v>
          </cell>
          <cell r="C2406" t="str">
            <v>TANESE MARCO</v>
          </cell>
          <cell r="D2406" t="str">
            <v>11014260019 11014260019</v>
          </cell>
          <cell r="E2406" t="str">
            <v>VIA GUBBIO, 106</v>
          </cell>
          <cell r="F2406">
            <v>10149</v>
          </cell>
          <cell r="G2406" t="str">
            <v>TORINO</v>
          </cell>
          <cell r="H2406" t="str">
            <v>TO</v>
          </cell>
          <cell r="I2406" t="str">
            <v>ITALIA</v>
          </cell>
          <cell r="J2406" t="str">
            <v>349-4423466</v>
          </cell>
        </row>
        <row r="2407">
          <cell r="B2407">
            <v>4692</v>
          </cell>
          <cell r="C2407" t="str">
            <v>TANTE CIALDE DI  ROMEO ALBINA  EUGENIA</v>
          </cell>
          <cell r="D2407" t="str">
            <v>03538300132 RMOLNG74T68F133 N</v>
          </cell>
          <cell r="E2407" t="str">
            <v>VIA VERGANI, 10</v>
          </cell>
          <cell r="F2407">
            <v>22063</v>
          </cell>
          <cell r="G2407" t="str">
            <v>CANTU'</v>
          </cell>
          <cell r="H2407" t="str">
            <v>CO</v>
          </cell>
          <cell r="I2407" t="str">
            <v>ITALIA</v>
          </cell>
          <cell r="J2407" t="str">
            <v>031-704642</v>
          </cell>
        </row>
        <row r="2408">
          <cell r="B2408">
            <v>56</v>
          </cell>
          <cell r="C2408" t="str">
            <v>TARTAGLIA  ALESSANDRO</v>
          </cell>
          <cell r="D2408" t="str">
            <v>10124510156 TRTLSN70E16E514U</v>
          </cell>
          <cell r="E2408" t="str">
            <v>VIA LUCANIA, 10</v>
          </cell>
          <cell r="F2408">
            <v>20015</v>
          </cell>
          <cell r="G2408" t="str">
            <v>PARABIAGO</v>
          </cell>
          <cell r="H2408" t="str">
            <v>MI</v>
          </cell>
          <cell r="I2408" t="str">
            <v>ITALIA</v>
          </cell>
          <cell r="J2408" t="str">
            <v>0331-492181</v>
          </cell>
        </row>
        <row r="2409">
          <cell r="B2409">
            <v>4904</v>
          </cell>
          <cell r="C2409" t="str">
            <v>TCR DI FICO  FRANCESCO</v>
          </cell>
          <cell r="D2409" t="str">
            <v>11522760013 FCIFNC87B19L219R</v>
          </cell>
          <cell r="E2409" t="str">
            <v>VIA PRIVATA CHIUSO, 12</v>
          </cell>
          <cell r="F2409">
            <v>10024</v>
          </cell>
          <cell r="G2409" t="str">
            <v>MONCALIERI</v>
          </cell>
          <cell r="H2409" t="str">
            <v>TO</v>
          </cell>
          <cell r="I2409" t="str">
            <v>ITALIA</v>
          </cell>
          <cell r="J2409" t="str">
            <v>347-0391358</v>
          </cell>
        </row>
        <row r="2410">
          <cell r="B2410">
            <v>6794</v>
          </cell>
          <cell r="C2410" t="str">
            <v>TE.MA.FO SERVICE  SAS</v>
          </cell>
          <cell r="D2410" t="str">
            <v>08237240968</v>
          </cell>
          <cell r="E2410" t="str">
            <v>VIA N.BATTAGLIA  22</v>
          </cell>
          <cell r="F2410">
            <v>20127</v>
          </cell>
          <cell r="G2410" t="str">
            <v>MILANO</v>
          </cell>
          <cell r="H2410" t="str">
            <v>MI</v>
          </cell>
          <cell r="I2410" t="str">
            <v>ITALIA</v>
          </cell>
          <cell r="J2410" t="str">
            <v>342-3400990</v>
          </cell>
        </row>
        <row r="2411">
          <cell r="B2411">
            <v>2283</v>
          </cell>
          <cell r="C2411" t="str">
            <v>TEAM ITALIA GROUP</v>
          </cell>
          <cell r="D2411" t="str">
            <v>05766800725 05766800725</v>
          </cell>
          <cell r="E2411" t="str">
            <v>VIA ALMESE, 7</v>
          </cell>
          <cell r="F2411">
            <v>10040</v>
          </cell>
          <cell r="G2411" t="str">
            <v>VILLAR DORA</v>
          </cell>
          <cell r="H2411" t="str">
            <v>TO</v>
          </cell>
          <cell r="I2411" t="str">
            <v>ITALIA</v>
          </cell>
          <cell r="J2411" t="str">
            <v xml:space="preserve">011-9348787 </v>
          </cell>
        </row>
        <row r="2412">
          <cell r="B2412">
            <v>2552</v>
          </cell>
          <cell r="C2412" t="str">
            <v>TECNI.CO SERVICE  S.N.C. DI CARRE'  ROBERTO &amp; C.</v>
          </cell>
          <cell r="D2412" t="str">
            <v>08690800019 08690800019</v>
          </cell>
          <cell r="E2412" t="str">
            <v>VIA MURIALDO, 19</v>
          </cell>
          <cell r="F2412">
            <v>10091</v>
          </cell>
          <cell r="G2412" t="str">
            <v>ALPIGNANO</v>
          </cell>
          <cell r="H2412" t="str">
            <v>TO</v>
          </cell>
          <cell r="I2412" t="str">
            <v>ITALIA</v>
          </cell>
          <cell r="J2412" t="str">
            <v xml:space="preserve">348-3195501 </v>
          </cell>
        </row>
        <row r="2413">
          <cell r="B2413">
            <v>2116</v>
          </cell>
          <cell r="C2413" t="str">
            <v>TECNO COFFEE  S.N.C. DI GIROTTO LUCIANO &amp; C.</v>
          </cell>
          <cell r="D2413" t="str">
            <v>00916080963 08590760156</v>
          </cell>
          <cell r="E2413" t="str">
            <v>VIA VITTORIO VENETO,  58/60</v>
          </cell>
          <cell r="F2413">
            <v>20846</v>
          </cell>
          <cell r="G2413" t="str">
            <v>MACHERIO</v>
          </cell>
          <cell r="H2413" t="str">
            <v>MB</v>
          </cell>
          <cell r="I2413" t="str">
            <v>ITALIA</v>
          </cell>
          <cell r="J2413" t="str">
            <v>caffe</v>
          </cell>
        </row>
        <row r="2414">
          <cell r="B2414">
            <v>4467</v>
          </cell>
          <cell r="C2414" t="str">
            <v>TECNO-BEN S.R.L.</v>
          </cell>
          <cell r="D2414" t="str">
            <v>01291980082 01291980082</v>
          </cell>
          <cell r="E2414" t="str">
            <v>VIA ARMEA, 45</v>
          </cell>
          <cell r="F2414">
            <v>18038</v>
          </cell>
          <cell r="G2414" t="str">
            <v>SANREMO</v>
          </cell>
          <cell r="H2414" t="str">
            <v>IM</v>
          </cell>
          <cell r="I2414" t="str">
            <v>ITALIA</v>
          </cell>
          <cell r="J2414" t="str">
            <v>0184-532313</v>
          </cell>
        </row>
        <row r="2415">
          <cell r="B2415">
            <v>6764</v>
          </cell>
          <cell r="C2415" t="str">
            <v>TECNOESPRESS DI  FORNACA  CRISTIANA MARIA  ROSA</v>
          </cell>
          <cell r="D2415" t="str">
            <v>11811540019 FRNCST63B57L219F</v>
          </cell>
          <cell r="E2415" t="str">
            <v>VIA BAVENO, 7</v>
          </cell>
          <cell r="F2415">
            <v>10146</v>
          </cell>
          <cell r="G2415" t="str">
            <v>TORINO</v>
          </cell>
          <cell r="H2415" t="str">
            <v>TO</v>
          </cell>
          <cell r="I2415" t="str">
            <v>ITALIA</v>
          </cell>
          <cell r="J2415" t="str">
            <v>333-7314382</v>
          </cell>
        </row>
        <row r="2416">
          <cell r="B2416">
            <v>3817</v>
          </cell>
          <cell r="C2416" t="str">
            <v>TECNOGEST DI  CASTALDELLO  GIUSEPPE</v>
          </cell>
          <cell r="D2416" t="str">
            <v>10318040010 CSTGPP66A24L219 C</v>
          </cell>
          <cell r="E2416" t="str">
            <v>VIA CAVOUR, 9/A</v>
          </cell>
          <cell r="F2416">
            <v>10098</v>
          </cell>
          <cell r="G2416" t="str">
            <v>RIVOLI</v>
          </cell>
          <cell r="H2416" t="str">
            <v>TO</v>
          </cell>
          <cell r="I2416" t="str">
            <v>ITALIA</v>
          </cell>
          <cell r="J2416" t="str">
            <v>379-1682169</v>
          </cell>
        </row>
        <row r="2417">
          <cell r="B2417">
            <v>1</v>
          </cell>
          <cell r="C2417" t="str">
            <v>TECNOLAFER</v>
          </cell>
          <cell r="E2417" t="str">
            <v>VIA ENRICO MATTEI 15</v>
          </cell>
          <cell r="F2417">
            <v>20003</v>
          </cell>
          <cell r="G2417" t="str">
            <v>CASOREZZO</v>
          </cell>
          <cell r="H2417" t="str">
            <v>MI</v>
          </cell>
          <cell r="I2417" t="str">
            <v>ITALIA</v>
          </cell>
        </row>
        <row r="2418">
          <cell r="B2418">
            <v>5733</v>
          </cell>
          <cell r="C2418" t="str">
            <v>TECNOMATIC  S.R.L.</v>
          </cell>
          <cell r="D2418" t="str">
            <v>00487660045 00487660045</v>
          </cell>
          <cell r="E2418" t="str">
            <v>VIA TORINO, 34</v>
          </cell>
          <cell r="F2418">
            <v>12040</v>
          </cell>
          <cell r="G2418" t="str">
            <v>BORBORE DI  VEZZA D'ALBA</v>
          </cell>
          <cell r="H2418" t="str">
            <v>CN</v>
          </cell>
          <cell r="I2418" t="str">
            <v>ITALIA</v>
          </cell>
          <cell r="J2418" t="str">
            <v>0173-65002</v>
          </cell>
        </row>
        <row r="2419">
          <cell r="B2419">
            <v>3709</v>
          </cell>
          <cell r="C2419" t="str">
            <v>TECNOSERVICE AUTOLAVAGGI</v>
          </cell>
          <cell r="D2419" t="str">
            <v>01380750057 RBBGPP73T13A052I</v>
          </cell>
          <cell r="E2419" t="str">
            <v>VIA CERETTA TATORBA,  17</v>
          </cell>
          <cell r="F2419">
            <v>14050</v>
          </cell>
          <cell r="G2419" t="str">
            <v>ROCCAVERANO</v>
          </cell>
          <cell r="H2419" t="str">
            <v>AT</v>
          </cell>
          <cell r="I2419" t="str">
            <v>ITALIA</v>
          </cell>
          <cell r="J2419" t="str">
            <v>338-8631200</v>
          </cell>
        </row>
        <row r="2420">
          <cell r="B2420">
            <v>5679</v>
          </cell>
          <cell r="C2420" t="str">
            <v>TECNOSERVICE S.R.L.</v>
          </cell>
          <cell r="D2420" t="str">
            <v>04946280015 04946280015</v>
          </cell>
          <cell r="E2420" t="str">
            <v>VIA CAVALIERI DEL  LAVORO, 2/9</v>
          </cell>
          <cell r="F2420">
            <v>10024</v>
          </cell>
          <cell r="G2420" t="str">
            <v>MONCALIERI</v>
          </cell>
          <cell r="H2420" t="str">
            <v>TO</v>
          </cell>
          <cell r="I2420" t="str">
            <v>ITALIA</v>
          </cell>
          <cell r="J2420" t="str">
            <v>011-200981</v>
          </cell>
        </row>
        <row r="2421">
          <cell r="B2421">
            <v>6969</v>
          </cell>
          <cell r="C2421" t="str">
            <v>TEK S.R.L.</v>
          </cell>
          <cell r="D2421" t="str">
            <v>LNDCMN78C07H703 F</v>
          </cell>
          <cell r="E2421" t="str">
            <v>VIA COLLINA LICINELLA, 4</v>
          </cell>
          <cell r="F2421">
            <v>84085</v>
          </cell>
          <cell r="G2421" t="str">
            <v>MERCATO SAN  SEVERINO</v>
          </cell>
          <cell r="H2421" t="str">
            <v>SA</v>
          </cell>
          <cell r="I2421" t="str">
            <v>ITALIA</v>
          </cell>
          <cell r="J2421" t="str">
            <v>335-7314196</v>
          </cell>
        </row>
        <row r="2422">
          <cell r="B2422">
            <v>6896</v>
          </cell>
          <cell r="C2422" t="str">
            <v>TEKNOCAFFE SRL</v>
          </cell>
          <cell r="D2422" t="str">
            <v>03519520047 03519520047</v>
          </cell>
          <cell r="E2422" t="str">
            <v>VIA TRENTO TRIESTE, 1</v>
          </cell>
          <cell r="F2422">
            <v>12062</v>
          </cell>
          <cell r="G2422" t="str">
            <v>RORETO DI  CHERASCO</v>
          </cell>
          <cell r="H2422" t="str">
            <v>CN</v>
          </cell>
          <cell r="I2422" t="str">
            <v>ITALIA</v>
          </cell>
          <cell r="J2422" t="str">
            <v>0172-495572</v>
          </cell>
        </row>
        <row r="2423">
          <cell r="B2423">
            <v>7293</v>
          </cell>
          <cell r="C2423" t="str">
            <v>TENDERINI MASSIMO</v>
          </cell>
          <cell r="D2423" t="str">
            <v>TNDMSM57C10L736 N</v>
          </cell>
          <cell r="E2423" t="str">
            <v>VIALE SAN MARCO 76/B</v>
          </cell>
          <cell r="F2423">
            <v>30173</v>
          </cell>
          <cell r="G2423" t="str">
            <v>MESTRE</v>
          </cell>
          <cell r="H2423" t="str">
            <v>VE</v>
          </cell>
          <cell r="I2423" t="str">
            <v>ITALIA</v>
          </cell>
          <cell r="J2423" t="str">
            <v>346-0431674</v>
          </cell>
        </row>
        <row r="2424">
          <cell r="B2424">
            <v>3380</v>
          </cell>
          <cell r="C2424" t="str">
            <v>TENTORI  FRANCESCA</v>
          </cell>
          <cell r="D2424" t="str">
            <v>09829000018 TNTFNC74A47L219T</v>
          </cell>
          <cell r="E2424" t="str">
            <v>VIA MONTEBELLO, 24/A</v>
          </cell>
          <cell r="F2424">
            <v>1024</v>
          </cell>
          <cell r="G2424" t="str">
            <v>TORINO</v>
          </cell>
          <cell r="H2424" t="str">
            <v>TO</v>
          </cell>
          <cell r="I2424" t="str">
            <v>ITALIA</v>
          </cell>
          <cell r="J2424" t="str">
            <v>333-6706897</v>
          </cell>
        </row>
        <row r="2425">
          <cell r="B2425">
            <v>3333</v>
          </cell>
          <cell r="C2425" t="str">
            <v>TEOBROMA DI S.  BENSO</v>
          </cell>
          <cell r="D2425" t="str">
            <v>03233550049 BNSSRG58D20L219 W</v>
          </cell>
          <cell r="E2425" t="str">
            <v>S.STATALE 20, 30</v>
          </cell>
          <cell r="F2425">
            <v>12017</v>
          </cell>
          <cell r="G2425" t="str">
            <v>ROBILANTE</v>
          </cell>
          <cell r="H2425" t="str">
            <v>CN</v>
          </cell>
          <cell r="I2425" t="str">
            <v>ITALIA</v>
          </cell>
          <cell r="J2425" t="str">
            <v xml:space="preserve">0171-789401 </v>
          </cell>
        </row>
        <row r="2426">
          <cell r="B2426">
            <v>7121</v>
          </cell>
          <cell r="C2426" t="str">
            <v>TERMINI VINCENZO</v>
          </cell>
          <cell r="D2426" t="str">
            <v>TRMVCN52E24H163 N</v>
          </cell>
          <cell r="E2426" t="str">
            <v>CONTRADA  MAGAZZINAZZI SNC</v>
          </cell>
          <cell r="F2426">
            <v>97100</v>
          </cell>
          <cell r="G2426" t="str">
            <v>RAGUSA</v>
          </cell>
          <cell r="H2426" t="str">
            <v>RG</v>
          </cell>
          <cell r="I2426" t="str">
            <v>ITALIA</v>
          </cell>
          <cell r="J2426" t="str">
            <v>328-9533257</v>
          </cell>
        </row>
        <row r="2427">
          <cell r="B2427">
            <v>4950</v>
          </cell>
          <cell r="C2427" t="str">
            <v>TERRA SICILIAE S.R. L.</v>
          </cell>
          <cell r="D2427" t="str">
            <v>05160110879 05160110879</v>
          </cell>
          <cell r="E2427" t="str">
            <v>VIA CENTURIPE, 4</v>
          </cell>
          <cell r="F2427">
            <v>95128</v>
          </cell>
          <cell r="G2427" t="str">
            <v>CATANIA</v>
          </cell>
          <cell r="H2427" t="str">
            <v>CT</v>
          </cell>
          <cell r="I2427" t="str">
            <v>ITALIA</v>
          </cell>
          <cell r="J2427" t="str">
            <v>333-2522959</v>
          </cell>
        </row>
        <row r="2428">
          <cell r="B2428">
            <v>7500</v>
          </cell>
          <cell r="C2428" t="str">
            <v>TESTI VALENTINA</v>
          </cell>
          <cell r="D2428" t="str">
            <v>TSTVNT91D49I462 G</v>
          </cell>
          <cell r="E2428" t="str">
            <v>VIA GHIAROLA NUOVA 40</v>
          </cell>
          <cell r="F2428">
            <v>41042</v>
          </cell>
          <cell r="G2428" t="str">
            <v>FIORANO  MODENESE</v>
          </cell>
          <cell r="H2428" t="str">
            <v>MO</v>
          </cell>
          <cell r="I2428" t="str">
            <v>ITALIA</v>
          </cell>
          <cell r="J2428" t="str">
            <v>366-3935095</v>
          </cell>
        </row>
        <row r="2429">
          <cell r="B2429">
            <v>4183</v>
          </cell>
          <cell r="C2429" t="str">
            <v>TESTORI ORESTE</v>
          </cell>
          <cell r="D2429" t="str">
            <v>03103250159 TSTRST49L20H930V</v>
          </cell>
          <cell r="E2429" t="str">
            <v>VIA COPERNICO, 4</v>
          </cell>
          <cell r="F2429">
            <v>20090</v>
          </cell>
          <cell r="G2429" t="str">
            <v>TREZZANO SUL  NAVIGLIO</v>
          </cell>
          <cell r="H2429" t="str">
            <v>MI</v>
          </cell>
          <cell r="I2429" t="str">
            <v>ITALIA</v>
          </cell>
        </row>
        <row r="2430">
          <cell r="B2430">
            <v>6591</v>
          </cell>
          <cell r="C2430" t="str">
            <v>TF VENDING S.N.C.</v>
          </cell>
          <cell r="D2430" t="str">
            <v>04180900161 04180900161</v>
          </cell>
          <cell r="E2430" t="str">
            <v>VIA PUCCINI, 2</v>
          </cell>
          <cell r="F2430">
            <v>24035</v>
          </cell>
          <cell r="G2430" t="str">
            <v>CURNO</v>
          </cell>
          <cell r="H2430" t="str">
            <v>BG</v>
          </cell>
          <cell r="I2430" t="str">
            <v>ITALIA</v>
          </cell>
          <cell r="J2430" t="str">
            <v>331-4351841</v>
          </cell>
        </row>
        <row r="2431">
          <cell r="B2431">
            <v>4762</v>
          </cell>
          <cell r="C2431" t="str">
            <v>THERMAL SERVICE  S.R.L.</v>
          </cell>
          <cell r="D2431" t="str">
            <v>02510570027 02510570027</v>
          </cell>
          <cell r="E2431" t="str">
            <v>VIA MARTIRI DELLE  FOIBE, 16</v>
          </cell>
          <cell r="F2431">
            <v>13044</v>
          </cell>
          <cell r="G2431" t="str">
            <v>CRESCENTINO</v>
          </cell>
          <cell r="H2431" t="str">
            <v>VC</v>
          </cell>
          <cell r="I2431" t="str">
            <v>ITALIA</v>
          </cell>
          <cell r="J2431" t="str">
            <v>0161-834855</v>
          </cell>
        </row>
        <row r="2432">
          <cell r="B2432">
            <v>6739</v>
          </cell>
          <cell r="C2432" t="str">
            <v>TICINO VENDING S. A.</v>
          </cell>
          <cell r="D2432" t="str">
            <v>368.713.534</v>
          </cell>
          <cell r="E2432" t="str">
            <v>VIA AL FIUME, 1</v>
          </cell>
          <cell r="F2432">
            <v>6929</v>
          </cell>
          <cell r="G2432" t="str">
            <v>GRAVESANO -  SVIZZERA -</v>
          </cell>
          <cell r="I2432" t="str">
            <v>SVIZZERA</v>
          </cell>
          <cell r="J2432"/>
        </row>
        <row r="2433">
          <cell r="B2433">
            <v>4288</v>
          </cell>
          <cell r="C2433" t="str">
            <v>TIGULLIO CARNI  S.R.L.</v>
          </cell>
          <cell r="D2433" t="str">
            <v>02661500104 02661500104</v>
          </cell>
          <cell r="E2433" t="str">
            <v>P.LE BLIGNY, 2</v>
          </cell>
          <cell r="F2433">
            <v>16141</v>
          </cell>
          <cell r="G2433" t="str">
            <v>GENOVA</v>
          </cell>
          <cell r="H2433" t="str">
            <v>GE</v>
          </cell>
          <cell r="I2433" t="str">
            <v>ITALIA</v>
          </cell>
          <cell r="J2433" t="str">
            <v xml:space="preserve">010-8358361 </v>
          </cell>
        </row>
        <row r="2434">
          <cell r="B2434">
            <v>1608</v>
          </cell>
          <cell r="C2434" t="str">
            <v>TIME OUT  S.R.L.</v>
          </cell>
          <cell r="D2434" t="str">
            <v>02611530128 02611530128</v>
          </cell>
          <cell r="E2434" t="str">
            <v>VIA BOSCACCIO, 46/B</v>
          </cell>
          <cell r="F2434">
            <v>21012</v>
          </cell>
          <cell r="G2434" t="str">
            <v>CASSANO  MAGNAGO</v>
          </cell>
          <cell r="H2434" t="str">
            <v>VA</v>
          </cell>
          <cell r="I2434" t="str">
            <v>ITALIA</v>
          </cell>
          <cell r="J2434" t="str">
            <v>0331-209154</v>
          </cell>
        </row>
        <row r="2435">
          <cell r="B2435">
            <v>4450</v>
          </cell>
          <cell r="C2435" t="str">
            <v>TIME OUT DI  RIGOLIO RICCARDO</v>
          </cell>
          <cell r="D2435" t="str">
            <v>08379940961 RGLRCR61R15F205 O</v>
          </cell>
          <cell r="E2435" t="str">
            <v>VIA PERGOLESI, 13</v>
          </cell>
          <cell r="F2435">
            <v>20020</v>
          </cell>
          <cell r="G2435" t="str">
            <v>LAINATE</v>
          </cell>
          <cell r="H2435" t="str">
            <v>MI</v>
          </cell>
          <cell r="I2435" t="str">
            <v>ITALIA</v>
          </cell>
          <cell r="J2435" t="str">
            <v>334-7777800</v>
          </cell>
        </row>
        <row r="2436">
          <cell r="B2436">
            <v>9995</v>
          </cell>
          <cell r="C2436" t="str">
            <v>TIP TRAILER SERVICE ITALY SPA - CALDERA</v>
          </cell>
          <cell r="E2436" t="str">
            <v>VIA PER BUSTO, 87</v>
          </cell>
          <cell r="F2436">
            <v>21054</v>
          </cell>
          <cell r="G2436" t="str">
            <v>FAGNANO OLONA</v>
          </cell>
          <cell r="H2436" t="str">
            <v>VA</v>
          </cell>
          <cell r="I2436" t="str">
            <v>ITALIA</v>
          </cell>
        </row>
        <row r="2437">
          <cell r="B2437">
            <v>8042</v>
          </cell>
          <cell r="C2437" t="str">
            <v>TIRRENIA CAFFE' S.N.C.</v>
          </cell>
          <cell r="E2437" t="str">
            <v>VIA GROTTA DELLE FATE,19</v>
          </cell>
          <cell r="F2437">
            <v>57128</v>
          </cell>
          <cell r="G2437" t="str">
            <v>LIVORNO</v>
          </cell>
          <cell r="H2437" t="str">
            <v>LI</v>
          </cell>
          <cell r="I2437" t="str">
            <v>ITALIA</v>
          </cell>
          <cell r="J2437" t="str">
            <v>0586-501919</v>
          </cell>
        </row>
        <row r="2438">
          <cell r="B2438">
            <v>4574</v>
          </cell>
          <cell r="C2438" t="str">
            <v>TK S.R.L.</v>
          </cell>
          <cell r="D2438" t="str">
            <v>03416430126 03416430126</v>
          </cell>
          <cell r="E2438" t="str">
            <v>VIA DANTE ALIGHIERI,  3/B</v>
          </cell>
          <cell r="F2438">
            <v>20029</v>
          </cell>
          <cell r="G2438" t="str">
            <v>TURBIGO</v>
          </cell>
          <cell r="H2438" t="str">
            <v>MI</v>
          </cell>
          <cell r="I2438" t="str">
            <v>ITALIA</v>
          </cell>
          <cell r="J2438" t="str">
            <v>0331-899929</v>
          </cell>
        </row>
        <row r="2439">
          <cell r="B2439">
            <v>156</v>
          </cell>
          <cell r="C2439" t="str">
            <v>TMATIC S.R.L.  UNIPERSONALE</v>
          </cell>
          <cell r="D2439" t="str">
            <v>00200900033 00200900033</v>
          </cell>
          <cell r="E2439" t="str">
            <v>VIA A.CECCON, 2</v>
          </cell>
          <cell r="F2439">
            <v>28845</v>
          </cell>
          <cell r="G2439" t="str">
            <v>DOMODOSSOLA</v>
          </cell>
          <cell r="H2439" t="str">
            <v>VB</v>
          </cell>
          <cell r="I2439" t="str">
            <v>ITALIA</v>
          </cell>
          <cell r="J2439" t="str">
            <v>347- 9601491</v>
          </cell>
        </row>
        <row r="2440">
          <cell r="B2440">
            <v>7064</v>
          </cell>
          <cell r="C2440" t="str">
            <v>TOMASELLO  GIANFRANCO</v>
          </cell>
          <cell r="D2440" t="str">
            <v>TMSGFR74A13F158 D</v>
          </cell>
          <cell r="E2440" t="str">
            <v>VIA VESCOVADO, 12</v>
          </cell>
          <cell r="F2440">
            <v>15121</v>
          </cell>
          <cell r="G2440" t="str">
            <v>ALESSANDRIA</v>
          </cell>
          <cell r="H2440" t="str">
            <v>AL</v>
          </cell>
          <cell r="I2440" t="str">
            <v>ITALIA</v>
          </cell>
          <cell r="J2440" t="str">
            <v>333-1185490</v>
          </cell>
        </row>
        <row r="2441">
          <cell r="B2441">
            <v>6938</v>
          </cell>
          <cell r="C2441" t="str">
            <v>TOMASINI TANIA</v>
          </cell>
          <cell r="D2441" t="str">
            <v>12345678910 12345678910</v>
          </cell>
          <cell r="E2441" t="str">
            <v>Via Novara 150</v>
          </cell>
          <cell r="F2441">
            <v>21058</v>
          </cell>
          <cell r="G2441" t="str">
            <v>Solbiate Olona</v>
          </cell>
          <cell r="I2441" t="str">
            <v>ITALIA</v>
          </cell>
          <cell r="J2441" t="str">
            <v>331-123456</v>
          </cell>
        </row>
        <row r="2442">
          <cell r="B2442">
            <v>7518</v>
          </cell>
          <cell r="C2442" t="str">
            <v>TOMASONI DALILA</v>
          </cell>
          <cell r="D2442" t="str">
            <v>TMSDLL89H53A794 S</v>
          </cell>
          <cell r="E2442" t="str">
            <v>VIA AMELLINA, 100</v>
          </cell>
          <cell r="F2442">
            <v>24069</v>
          </cell>
          <cell r="G2442" t="str">
            <v>TRESCORE  BALNEARIO</v>
          </cell>
          <cell r="H2442" t="str">
            <v>BG</v>
          </cell>
          <cell r="I2442" t="str">
            <v>ITALIA</v>
          </cell>
          <cell r="J2442" t="str">
            <v>346-0838707</v>
          </cell>
        </row>
        <row r="2443">
          <cell r="B2443">
            <v>7037</v>
          </cell>
          <cell r="C2443" t="str">
            <v>TOMEI EMILIA</v>
          </cell>
          <cell r="D2443" t="str">
            <v>TMOMLE75R68F839 E</v>
          </cell>
          <cell r="E2443" t="str">
            <v>VIA ARIOSTO, 10</v>
          </cell>
          <cell r="F2443">
            <v>42019</v>
          </cell>
          <cell r="G2443" t="str">
            <v>Scandiano</v>
          </cell>
          <cell r="H2443" t="str">
            <v>RE</v>
          </cell>
          <cell r="I2443" t="str">
            <v>ITALIA</v>
          </cell>
          <cell r="J2443" t="str">
            <v>339-2141027</v>
          </cell>
        </row>
        <row r="2444">
          <cell r="B2444">
            <v>4066</v>
          </cell>
          <cell r="C2444" t="str">
            <v>TOMMASIN  ANGELA</v>
          </cell>
          <cell r="D2444" t="str">
            <v>07280260964 TMMNLV53T53I690B</v>
          </cell>
          <cell r="E2444" t="str">
            <v>VIA NAZARIO SAURO, 29</v>
          </cell>
          <cell r="F2444">
            <v>20099</v>
          </cell>
          <cell r="G2444" t="str">
            <v>SESTO SAN  GIOVANNI</v>
          </cell>
          <cell r="H2444" t="str">
            <v>MI</v>
          </cell>
          <cell r="I2444" t="str">
            <v>ITALIA</v>
          </cell>
          <cell r="J2444" t="str">
            <v>339-8947482</v>
          </cell>
        </row>
        <row r="2445">
          <cell r="B2445">
            <v>4456</v>
          </cell>
          <cell r="C2445" t="str">
            <v>TOMMY'S S.R.L.</v>
          </cell>
          <cell r="D2445" t="str">
            <v>01460140088 01460140088</v>
          </cell>
          <cell r="E2445" t="str">
            <v>VIA VITTORIO VENETO, 25</v>
          </cell>
          <cell r="F2445">
            <v>18039</v>
          </cell>
          <cell r="G2445" t="str">
            <v>VENTIMIGLIA</v>
          </cell>
          <cell r="H2445" t="str">
            <v>IM</v>
          </cell>
          <cell r="I2445" t="str">
            <v>ITALIA</v>
          </cell>
          <cell r="J2445" t="str">
            <v>0184-33718</v>
          </cell>
        </row>
        <row r="2446">
          <cell r="B2446">
            <v>7372</v>
          </cell>
          <cell r="C2446" t="str">
            <v>TONINELLI ANDY</v>
          </cell>
          <cell r="D2446" t="str">
            <v>TNNNDY63P18Z103I</v>
          </cell>
          <cell r="E2446" t="str">
            <v>VIA DELLA LIBERTA' 69</v>
          </cell>
          <cell r="F2446">
            <v>46047</v>
          </cell>
          <cell r="G2446" t="str">
            <v>PORTOMANTOVA NO</v>
          </cell>
          <cell r="H2446" t="str">
            <v>MN</v>
          </cell>
          <cell r="I2446" t="str">
            <v>ITALIA</v>
          </cell>
          <cell r="J2446" t="str">
            <v>348-4282403</v>
          </cell>
        </row>
        <row r="2447">
          <cell r="B2447">
            <v>7389</v>
          </cell>
          <cell r="C2447" t="str">
            <v>TONINELLO LUCA</v>
          </cell>
          <cell r="D2447" t="str">
            <v>TNNLCU02D04A059 Z</v>
          </cell>
          <cell r="E2447" t="str">
            <v>VIA PIAVE 6</v>
          </cell>
          <cell r="F2447">
            <v>45018</v>
          </cell>
          <cell r="G2447" t="str">
            <v>PORTO TOLLE</v>
          </cell>
          <cell r="H2447" t="str">
            <v>RO</v>
          </cell>
          <cell r="I2447" t="str">
            <v>ITALIA</v>
          </cell>
          <cell r="J2447" t="str">
            <v>342-0927686</v>
          </cell>
        </row>
        <row r="2448">
          <cell r="B2448">
            <v>6585</v>
          </cell>
          <cell r="C2448" t="str">
            <v>TOP CAR DI  GAROFALO MARCO</v>
          </cell>
          <cell r="D2448" t="str">
            <v>11820020011 GRFMRC88C20L219 K</v>
          </cell>
          <cell r="E2448" t="str">
            <v>VIA PRALAFERA, 20</v>
          </cell>
          <cell r="F2448">
            <v>10062</v>
          </cell>
          <cell r="G2448" t="str">
            <v>LUSERNA SAN  GIOVANNI</v>
          </cell>
          <cell r="H2448" t="str">
            <v>TO</v>
          </cell>
          <cell r="I2448" t="str">
            <v>ITALIA</v>
          </cell>
          <cell r="J2448" t="str">
            <v>345-8777856</v>
          </cell>
        </row>
        <row r="2449">
          <cell r="B2449">
            <v>4250</v>
          </cell>
          <cell r="C2449" t="str">
            <v>TOP FOOD S.P.A.</v>
          </cell>
          <cell r="D2449" t="str">
            <v>10272240010</v>
          </cell>
          <cell r="E2449" t="str">
            <v>VIA AMERIGO VESPUCCI,  69</v>
          </cell>
          <cell r="F2449">
            <v>10129</v>
          </cell>
          <cell r="G2449" t="str">
            <v>TORINO</v>
          </cell>
          <cell r="H2449" t="str">
            <v>TO</v>
          </cell>
          <cell r="I2449" t="str">
            <v>ITALIA</v>
          </cell>
          <cell r="J2449" t="str">
            <v>011-7708807</v>
          </cell>
        </row>
        <row r="2450">
          <cell r="B2450">
            <v>10317</v>
          </cell>
          <cell r="C2450" t="str">
            <v>TOP ITALIA GOURMET DI FAVERO GIOVANNI</v>
          </cell>
          <cell r="E2450" t="str">
            <v>VIA G. GARIBALDI, 181</v>
          </cell>
          <cell r="F2450">
            <v>22073</v>
          </cell>
          <cell r="G2450" t="str">
            <v>FINO MORNASCO</v>
          </cell>
          <cell r="H2450" t="str">
            <v>CO</v>
          </cell>
          <cell r="I2450" t="str">
            <v>ITALIA</v>
          </cell>
          <cell r="J2450" t="str">
            <v>335-8420889</v>
          </cell>
        </row>
        <row r="2451">
          <cell r="B2451">
            <v>7732</v>
          </cell>
          <cell r="C2451" t="str">
            <v>TOP QUALITY S.R.L.</v>
          </cell>
          <cell r="E2451" t="str">
            <v>VIA UMBERTO TAGLIABUE, 59</v>
          </cell>
          <cell r="F2451">
            <v>20832</v>
          </cell>
          <cell r="G2451" t="str">
            <v>DESIO</v>
          </cell>
          <cell r="H2451" t="str">
            <v>MB</v>
          </cell>
          <cell r="I2451" t="str">
            <v>ITALIA</v>
          </cell>
          <cell r="J2451" t="str">
            <v>333-6513094</v>
          </cell>
        </row>
        <row r="2452">
          <cell r="B2452">
            <v>3814</v>
          </cell>
          <cell r="C2452" t="str">
            <v>TORINO CAFFE'  DI  PELOSO VINCENZO</v>
          </cell>
          <cell r="D2452" t="str">
            <v>00877490946 PLSVCN64E26L219S</v>
          </cell>
          <cell r="E2452" t="str">
            <v>VIA BELFIORE, 17</v>
          </cell>
          <cell r="F2452">
            <v>10042</v>
          </cell>
          <cell r="G2452" t="str">
            <v>NICHELINO</v>
          </cell>
          <cell r="H2452" t="str">
            <v>TO</v>
          </cell>
          <cell r="I2452" t="str">
            <v>ITALIA</v>
          </cell>
          <cell r="J2452" t="str">
            <v>011-6207304</v>
          </cell>
        </row>
        <row r="2453">
          <cell r="B2453">
            <v>6921</v>
          </cell>
          <cell r="C2453" t="str">
            <v>TORINO HOTELLERIE  DI BIANCHI  ALBERTO</v>
          </cell>
          <cell r="D2453" t="str">
            <v>10046680012 BNCLRT60S09L219 M</v>
          </cell>
          <cell r="E2453" t="str">
            <v>VIA SUSA, 14/L</v>
          </cell>
          <cell r="F2453">
            <v>10100</v>
          </cell>
          <cell r="G2453" t="str">
            <v>TORINO</v>
          </cell>
          <cell r="H2453" t="str">
            <v>TO</v>
          </cell>
          <cell r="I2453" t="str">
            <v>ITALIA</v>
          </cell>
          <cell r="J2453" t="str">
            <v>327-1623733</v>
          </cell>
        </row>
        <row r="2454">
          <cell r="B2454">
            <v>5989</v>
          </cell>
          <cell r="C2454" t="str">
            <v>TORINO SERVICE DI  CAPIZZI RAFFAELE</v>
          </cell>
          <cell r="D2454" t="str">
            <v>03113710010</v>
          </cell>
          <cell r="E2454" t="str">
            <v>VIA  AVIGLIANA, 1</v>
          </cell>
          <cell r="F2454">
            <v>10095</v>
          </cell>
          <cell r="G2454" t="str">
            <v>SANT'AMBROGIO</v>
          </cell>
          <cell r="H2454" t="str">
            <v>TO</v>
          </cell>
          <cell r="I2454" t="str">
            <v>ITALIA</v>
          </cell>
          <cell r="J2454" t="str">
            <v>393-2131495</v>
          </cell>
        </row>
        <row r="2455">
          <cell r="B2455">
            <v>3520</v>
          </cell>
          <cell r="C2455" t="str">
            <v>TORINO VENDING S. R.L.</v>
          </cell>
          <cell r="D2455" t="str">
            <v>03140430046 03140430046</v>
          </cell>
          <cell r="E2455" t="str">
            <v>CORSO BRA 30/2</v>
          </cell>
          <cell r="F2455">
            <v>12051</v>
          </cell>
          <cell r="G2455" t="str">
            <v>ALBA</v>
          </cell>
          <cell r="H2455" t="str">
            <v>CN</v>
          </cell>
          <cell r="I2455" t="str">
            <v>ITALIA</v>
          </cell>
          <cell r="J2455" t="str">
            <v>011-6804572</v>
          </cell>
        </row>
        <row r="2456">
          <cell r="B2456">
            <v>3989</v>
          </cell>
          <cell r="C2456" t="str">
            <v>TORINOALTA S.R.L.  A SOCIO UNICO</v>
          </cell>
          <cell r="D2456" t="str">
            <v>10314860015 10314860015</v>
          </cell>
          <cell r="E2456" t="str">
            <v>VIA SALBERTRAND,  62BIS/B</v>
          </cell>
          <cell r="F2456">
            <v>10146</v>
          </cell>
          <cell r="G2456" t="str">
            <v>TORINO</v>
          </cell>
          <cell r="H2456" t="str">
            <v>TO</v>
          </cell>
          <cell r="I2456" t="str">
            <v>ITALIA</v>
          </cell>
          <cell r="J2456" t="str">
            <v xml:space="preserve">011-7794050 </v>
          </cell>
        </row>
        <row r="2457">
          <cell r="B2457">
            <v>5744</v>
          </cell>
          <cell r="C2457" t="str">
            <v>TORMENA PAOLO  &amp; C. S.A.S. (IN  LIQUIDAZIONE)</v>
          </cell>
          <cell r="D2457" t="str">
            <v>00428630073 00428630073</v>
          </cell>
          <cell r="E2457" t="str">
            <v>VIA MONTMAYEUR. 19</v>
          </cell>
          <cell r="F2457">
            <v>11100</v>
          </cell>
          <cell r="G2457" t="str">
            <v>AOSTA</v>
          </cell>
          <cell r="H2457" t="str">
            <v>AO</v>
          </cell>
          <cell r="I2457" t="str">
            <v>ITALIA</v>
          </cell>
          <cell r="J2457" t="str">
            <v xml:space="preserve">0165-554596 </v>
          </cell>
        </row>
        <row r="2458">
          <cell r="B2458">
            <v>1874</v>
          </cell>
          <cell r="C2458" t="str">
            <v>TORMOKA DI BAU'  SIMONE &amp; C. S.A.S.</v>
          </cell>
          <cell r="D2458" t="str">
            <v>00444390025 00444390025</v>
          </cell>
          <cell r="E2458" t="str">
            <v>VIA PAIETTA, 25</v>
          </cell>
          <cell r="F2458">
            <v>13900</v>
          </cell>
          <cell r="G2458" t="str">
            <v>BIELLA</v>
          </cell>
          <cell r="H2458" t="str">
            <v>BI</v>
          </cell>
          <cell r="I2458" t="str">
            <v>ITALIA</v>
          </cell>
          <cell r="J2458" t="str">
            <v>348-9158107</v>
          </cell>
        </row>
        <row r="2459">
          <cell r="B2459">
            <v>6693</v>
          </cell>
          <cell r="C2459" t="str">
            <v>TORO DI TOTARO  FILIPPO</v>
          </cell>
          <cell r="D2459" t="str">
            <v>06726830968 TTRFPP85D06C523E</v>
          </cell>
          <cell r="E2459" t="str">
            <v>VIA MARCONI, 44/B</v>
          </cell>
          <cell r="F2459">
            <v>20069</v>
          </cell>
          <cell r="G2459" t="str">
            <v>INZAGO</v>
          </cell>
          <cell r="H2459" t="str">
            <v>MI</v>
          </cell>
          <cell r="I2459" t="str">
            <v>ITALIA</v>
          </cell>
          <cell r="J2459" t="str">
            <v>349-8493989</v>
          </cell>
        </row>
        <row r="2460">
          <cell r="B2460">
            <v>7463</v>
          </cell>
          <cell r="C2460" t="str">
            <v>TORO TIZIANA</v>
          </cell>
          <cell r="D2460" t="str">
            <v>TROTZN69H56H501 W</v>
          </cell>
          <cell r="E2460" t="str">
            <v>VIA GIUSEPPE ANTONIO  GUATTANI, 9</v>
          </cell>
          <cell r="F2460">
            <v>161</v>
          </cell>
          <cell r="G2460" t="str">
            <v>ROMA</v>
          </cell>
          <cell r="H2460" t="str">
            <v>RM</v>
          </cell>
          <cell r="I2460" t="str">
            <v>ITALIA</v>
          </cell>
          <cell r="J2460" t="str">
            <v>339-4284007</v>
          </cell>
        </row>
        <row r="2461">
          <cell r="B2461">
            <v>3084</v>
          </cell>
          <cell r="C2461" t="str">
            <v>TORRE MICHELE</v>
          </cell>
          <cell r="D2461" t="str">
            <v>01155230996 TRRMHL65D12D969 H</v>
          </cell>
          <cell r="E2461" t="str">
            <v>VIA MOREGO, 45/4</v>
          </cell>
          <cell r="F2461">
            <v>16163</v>
          </cell>
          <cell r="G2461" t="str">
            <v>GENOVA</v>
          </cell>
          <cell r="H2461" t="str">
            <v>GE</v>
          </cell>
          <cell r="I2461" t="str">
            <v>ITALIA</v>
          </cell>
          <cell r="J2461" t="str">
            <v xml:space="preserve">329-3472630 </v>
          </cell>
        </row>
        <row r="2462">
          <cell r="B2462">
            <v>6792</v>
          </cell>
          <cell r="C2462" t="str">
            <v>TORREFATTORI  ASSOCIATI SPA</v>
          </cell>
          <cell r="D2462" t="str">
            <v>02488750064 02488750064</v>
          </cell>
          <cell r="E2462" t="str">
            <v>VIA LIVERNO, 7</v>
          </cell>
          <cell r="F2462">
            <v>15069</v>
          </cell>
          <cell r="G2462" t="str">
            <v>SERRAVALLE  SCRIVIA</v>
          </cell>
          <cell r="H2462" t="str">
            <v>AL</v>
          </cell>
          <cell r="I2462" t="str">
            <v>ITALIA</v>
          </cell>
          <cell r="J2462" t="str">
            <v>0143-633847</v>
          </cell>
        </row>
        <row r="2463">
          <cell r="B2463">
            <v>2472</v>
          </cell>
          <cell r="C2463" t="str">
            <v>TORREFAZIONE  BAHIA S.A.S. DI  CHIRICO ADAMO</v>
          </cell>
          <cell r="D2463" t="str">
            <v>02880040965 02880040965</v>
          </cell>
          <cell r="E2463" t="str">
            <v>VIA MILANO, 40 B</v>
          </cell>
          <cell r="F2463">
            <v>20833</v>
          </cell>
          <cell r="G2463" t="str">
            <v>GIUSSANO</v>
          </cell>
          <cell r="H2463" t="str">
            <v>MB</v>
          </cell>
          <cell r="I2463" t="str">
            <v>ITALIA</v>
          </cell>
          <cell r="J2463" t="str">
            <v>0362-850344</v>
          </cell>
        </row>
        <row r="2464">
          <cell r="B2464">
            <v>6953</v>
          </cell>
          <cell r="C2464" t="str">
            <v>TORREFAZIONE  CAFFE' CREOR DI M.  CEYLAN</v>
          </cell>
          <cell r="D2464" t="str">
            <v>B61586A</v>
          </cell>
          <cell r="E2464" t="str">
            <v>VIA RAMPIGA, 1</v>
          </cell>
          <cell r="F2464">
            <v>6917</v>
          </cell>
          <cell r="G2464" t="str">
            <v>LUGANO -  BARBENGO -  SVIZZERA -</v>
          </cell>
          <cell r="I2464" t="str">
            <v>SVIZZERA</v>
          </cell>
          <cell r="J2464" t="str">
            <v>0041-794730710</v>
          </cell>
        </row>
        <row r="2465">
          <cell r="B2465">
            <v>6784</v>
          </cell>
          <cell r="C2465" t="str">
            <v>TORREFAZIONE  CAFFE' SCUDELETTI  S.R.L.</v>
          </cell>
          <cell r="D2465" t="str">
            <v>04247700166</v>
          </cell>
          <cell r="E2465" t="str">
            <v>VIA PROVINCIALE, 3</v>
          </cell>
          <cell r="F2465">
            <v>24040</v>
          </cell>
          <cell r="G2465" t="str">
            <v>LALLIO</v>
          </cell>
          <cell r="H2465" t="str">
            <v>BG</v>
          </cell>
          <cell r="I2465" t="str">
            <v>ITALIA</v>
          </cell>
          <cell r="J2465" t="str">
            <v>346-8603035</v>
          </cell>
        </row>
        <row r="2466">
          <cell r="B2466">
            <v>3532</v>
          </cell>
          <cell r="C2466" t="str">
            <v>TORREFAZIONE  HAWAIIMOKA DI  SANTAMBROGIO  ROBERTO</v>
          </cell>
          <cell r="D2466" t="str">
            <v>06687340965 SNTRRT65E31E063 D</v>
          </cell>
          <cell r="E2466" t="str">
            <v>VIA MATTEOTTI, 77</v>
          </cell>
          <cell r="F2466">
            <v>20821</v>
          </cell>
          <cell r="G2466" t="str">
            <v>MEDA</v>
          </cell>
          <cell r="H2466" t="str">
            <v>MB</v>
          </cell>
          <cell r="I2466" t="str">
            <v>ITALIA</v>
          </cell>
          <cell r="J2466" t="str">
            <v>0362-344198</v>
          </cell>
        </row>
        <row r="2467">
          <cell r="B2467">
            <v>4631</v>
          </cell>
          <cell r="C2467" t="str">
            <v>TORREFAZIONE  MOKA STRESA DI  CANTALUPPI  GIACOMO</v>
          </cell>
          <cell r="D2467" t="str">
            <v>02381490032 CNTGCM65R20A414 B</v>
          </cell>
          <cell r="E2467" t="str">
            <v>VIA G. RAGAZZI, 14</v>
          </cell>
          <cell r="F2467">
            <v>28011</v>
          </cell>
          <cell r="G2467" t="str">
            <v>SOVAZZA DI  ARMENO</v>
          </cell>
          <cell r="H2467" t="str">
            <v>NO</v>
          </cell>
          <cell r="I2467" t="str">
            <v>ITALIA</v>
          </cell>
          <cell r="J2467" t="str">
            <v xml:space="preserve">0322-900224 </v>
          </cell>
        </row>
        <row r="2468">
          <cell r="B2468">
            <v>4888</v>
          </cell>
          <cell r="C2468" t="str">
            <v>TORREFAZIONE  POLI S.R.L.</v>
          </cell>
          <cell r="D2468" t="str">
            <v>01632270169 01632270169</v>
          </cell>
          <cell r="E2468" t="str">
            <v>VIA GALVANI, 2</v>
          </cell>
          <cell r="F2468">
            <v>24048</v>
          </cell>
          <cell r="G2468" t="str">
            <v>TREVIOLO</v>
          </cell>
          <cell r="H2468" t="str">
            <v>BG</v>
          </cell>
          <cell r="I2468" t="str">
            <v>ITALIA</v>
          </cell>
          <cell r="J2468" t="str">
            <v>035-0400155</v>
          </cell>
        </row>
        <row r="2469">
          <cell r="B2469">
            <v>5927</v>
          </cell>
          <cell r="C2469" t="str">
            <v>TORREFAZIONE  SEITO CAFFE' DI  GATTA P. ANGELO</v>
          </cell>
          <cell r="D2469" t="str">
            <v>00191650076 GTTPQL60R02E379 R</v>
          </cell>
          <cell r="E2469" t="str">
            <v>VIA MAIOLETTO, 17</v>
          </cell>
          <cell r="F2469">
            <v>10019</v>
          </cell>
          <cell r="G2469" t="str">
            <v>CERONE FRAZ  STRAMBINO</v>
          </cell>
          <cell r="H2469" t="str">
            <v>TO</v>
          </cell>
          <cell r="I2469" t="str">
            <v>ITALIA</v>
          </cell>
          <cell r="J2469" t="str">
            <v xml:space="preserve">0125-719185 </v>
          </cell>
        </row>
        <row r="2470">
          <cell r="B2470">
            <v>5356</v>
          </cell>
          <cell r="C2470" t="str">
            <v>TORREFAZIONE  TAUROCAF S.R.L.</v>
          </cell>
          <cell r="D2470" t="str">
            <v>04822420016 04822420016</v>
          </cell>
          <cell r="E2470" t="str">
            <v>VIA GORETTA, 86/A</v>
          </cell>
          <cell r="F2470">
            <v>10072</v>
          </cell>
          <cell r="G2470" t="str">
            <v>MAPPANO -  CASELLE T.SE</v>
          </cell>
          <cell r="H2470" t="str">
            <v>TO</v>
          </cell>
          <cell r="I2470" t="str">
            <v>ITALIA</v>
          </cell>
          <cell r="J2470" t="str">
            <v>011-9968530</v>
          </cell>
        </row>
        <row r="2471">
          <cell r="B2471">
            <v>6895</v>
          </cell>
          <cell r="C2471" t="str">
            <v>TORREFAZIONE CAFFETTERIA CAFFE' CAIAZZO</v>
          </cell>
          <cell r="D2471" t="str">
            <v>02559710187 CZZBRN66E26E630 P</v>
          </cell>
          <cell r="E2471" t="str">
            <v>VIA CAPETTINI, 9</v>
          </cell>
          <cell r="F2471">
            <v>27020</v>
          </cell>
          <cell r="G2471" t="str">
            <v>GRAVELLONA LOMELLINA</v>
          </cell>
          <cell r="H2471" t="str">
            <v>PV</v>
          </cell>
          <cell r="I2471" t="str">
            <v>ITALIA</v>
          </cell>
          <cell r="J2471" t="str">
            <v>348-0945195</v>
          </cell>
        </row>
        <row r="2472">
          <cell r="B2472">
            <v>4902</v>
          </cell>
          <cell r="C2472" t="str">
            <v>TORREFAZIONE DEL  LAGO DI  MACCAGNAN  EMANUELE</v>
          </cell>
          <cell r="D2472" t="str">
            <v>10592530017 MCCMNL86C10E020 E</v>
          </cell>
          <cell r="E2472" t="str">
            <v>VIA EMILIO GHIONE, 40</v>
          </cell>
          <cell r="F2472">
            <v>10156</v>
          </cell>
          <cell r="G2472" t="str">
            <v>TORINO</v>
          </cell>
          <cell r="H2472" t="str">
            <v>TO</v>
          </cell>
          <cell r="I2472" t="str">
            <v>ITALIA</v>
          </cell>
          <cell r="J2472" t="str">
            <v>346-7583487</v>
          </cell>
        </row>
        <row r="2473">
          <cell r="B2473">
            <v>6096</v>
          </cell>
          <cell r="C2473" t="str">
            <v>TORREFAZIONE DEL  PALIO DI LUIGI  MACCAGNAN</v>
          </cell>
          <cell r="D2473" t="str">
            <v>06270680017</v>
          </cell>
          <cell r="E2473" t="str">
            <v>VIA GARIBALDI, 2</v>
          </cell>
          <cell r="F2473">
            <v>10051</v>
          </cell>
          <cell r="G2473" t="str">
            <v>AVIGLIANA</v>
          </cell>
          <cell r="H2473" t="str">
            <v>TO</v>
          </cell>
          <cell r="I2473" t="str">
            <v>ITALIA</v>
          </cell>
          <cell r="J2473" t="str">
            <v>329-2111356</v>
          </cell>
        </row>
        <row r="2474">
          <cell r="B2474">
            <v>1201</v>
          </cell>
          <cell r="C2474" t="str">
            <v>TORREFAZIONE LA SARONNESE S.A.S.</v>
          </cell>
          <cell r="D2474" t="str">
            <v>02272070125</v>
          </cell>
          <cell r="E2474" t="str">
            <v>VIA IV NOVEMBRE, 15</v>
          </cell>
          <cell r="F2474">
            <v>21047</v>
          </cell>
          <cell r="G2474" t="str">
            <v>SARONNO</v>
          </cell>
          <cell r="H2474" t="str">
            <v>VA</v>
          </cell>
          <cell r="I2474" t="str">
            <v>ITALIA</v>
          </cell>
          <cell r="J2474" t="str">
            <v>02-9609523</v>
          </cell>
        </row>
        <row r="2475">
          <cell r="B2475">
            <v>806</v>
          </cell>
          <cell r="C2475" t="str">
            <v>TORREFAZIONE MOKA STRESA S.A.S.</v>
          </cell>
          <cell r="D2475" t="str">
            <v>01131690032</v>
          </cell>
          <cell r="E2475" t="str">
            <v>VIA A. M. BOLONGARO, 26</v>
          </cell>
          <cell r="F2475">
            <v>28049</v>
          </cell>
          <cell r="G2475" t="str">
            <v>STRESA</v>
          </cell>
          <cell r="H2475" t="str">
            <v>VB</v>
          </cell>
          <cell r="I2475" t="str">
            <v>ITALIA</v>
          </cell>
          <cell r="J2475" t="str">
            <v>0322-900224</v>
          </cell>
        </row>
        <row r="2476">
          <cell r="B2476">
            <v>7686</v>
          </cell>
          <cell r="C2476" t="str">
            <v>TORREFAZIONE MOKAROMA CAFFE', THYKE GROUP S.R.L.</v>
          </cell>
          <cell r="E2476" t="str">
            <v>VIALE SPAGNA, 3 - ZONA INDUSTRIALE</v>
          </cell>
          <cell r="F2476">
            <v>73100</v>
          </cell>
          <cell r="G2476" t="str">
            <v>LECCE</v>
          </cell>
          <cell r="H2476" t="str">
            <v>LE</v>
          </cell>
          <cell r="I2476" t="str">
            <v>ITALIA</v>
          </cell>
        </row>
        <row r="2477">
          <cell r="B2477">
            <v>1367</v>
          </cell>
          <cell r="C2477" t="str">
            <v>TORREFAZIONE VARANINI</v>
          </cell>
          <cell r="E2477" t="str">
            <v>VIALE DEI MILLE, 116</v>
          </cell>
          <cell r="F2477">
            <v>20812</v>
          </cell>
          <cell r="G2477" t="str">
            <v>VAREDO</v>
          </cell>
          <cell r="H2477" t="str">
            <v>MB</v>
          </cell>
          <cell r="I2477" t="str">
            <v>ITALIA</v>
          </cell>
          <cell r="J2477" t="str">
            <v>0362-54303</v>
          </cell>
        </row>
        <row r="2478">
          <cell r="B2478">
            <v>5716</v>
          </cell>
          <cell r="C2478" t="str">
            <v>TORRENGO  ANNIBALE</v>
          </cell>
          <cell r="D2478" t="str">
            <v>02094030042 TRRNBL50S18D291 V</v>
          </cell>
          <cell r="E2478" t="str">
            <v>VIA MATTEOTTI, 5/A</v>
          </cell>
          <cell r="F2478">
            <v>12062</v>
          </cell>
          <cell r="G2478" t="str">
            <v>CHERASCO</v>
          </cell>
          <cell r="H2478" t="str">
            <v>CN</v>
          </cell>
          <cell r="I2478" t="str">
            <v>ITALIA</v>
          </cell>
          <cell r="J2478" t="str">
            <v>0172-489773</v>
          </cell>
        </row>
        <row r="2479">
          <cell r="B2479">
            <v>6442</v>
          </cell>
          <cell r="C2479" t="str">
            <v>TORRENGO FABIO</v>
          </cell>
          <cell r="D2479" t="str">
            <v>11690400012 TRRFBA69M07L219L</v>
          </cell>
          <cell r="E2479" t="str">
            <v>VIA STELLONE, 9</v>
          </cell>
          <cell r="F2479">
            <v>10126</v>
          </cell>
          <cell r="G2479" t="str">
            <v>TORINO</v>
          </cell>
          <cell r="H2479" t="str">
            <v>TO</v>
          </cell>
          <cell r="I2479" t="str">
            <v>ITALIA</v>
          </cell>
          <cell r="J2479" t="str">
            <v>333-4329666</v>
          </cell>
        </row>
        <row r="2480">
          <cell r="B2480">
            <v>7437</v>
          </cell>
          <cell r="C2480" t="str">
            <v>TORTI VALENTINA</v>
          </cell>
          <cell r="D2480" t="str">
            <v>TRTVNT85M45M109 P</v>
          </cell>
          <cell r="E2480" t="str">
            <v>VIA PADRE GALLI 13</v>
          </cell>
          <cell r="F2480">
            <v>15050</v>
          </cell>
          <cell r="G2480" t="str">
            <v>MOLINO DEI  TORTI</v>
          </cell>
          <cell r="H2480" t="str">
            <v>AL</v>
          </cell>
          <cell r="I2480" t="str">
            <v>ITALIA</v>
          </cell>
          <cell r="J2480" t="str">
            <v>328-4760274</v>
          </cell>
        </row>
        <row r="2481">
          <cell r="B2481">
            <v>7339</v>
          </cell>
          <cell r="C2481" t="str">
            <v>TOSI LAURA GRAZIA</v>
          </cell>
          <cell r="D2481" t="str">
            <v>TSOLGR74H42F205 A</v>
          </cell>
          <cell r="E2481" t="str">
            <v>VIA CAVOUR 47</v>
          </cell>
          <cell r="F2481">
            <v>20080</v>
          </cell>
          <cell r="G2481" t="str">
            <v>ALBAIRATE</v>
          </cell>
          <cell r="H2481" t="str">
            <v>MI</v>
          </cell>
          <cell r="I2481" t="str">
            <v>ITALIA</v>
          </cell>
          <cell r="J2481" t="str">
            <v>393-2157632</v>
          </cell>
        </row>
        <row r="2482">
          <cell r="B2482">
            <v>7226</v>
          </cell>
          <cell r="C2482" t="str">
            <v>TOSI VIRNA</v>
          </cell>
          <cell r="D2482" t="str">
            <v>TSOVRN64H65G713 P</v>
          </cell>
          <cell r="E2482" t="str">
            <v>VIA PADRE PROSPERO  LOTTI, 271</v>
          </cell>
          <cell r="F2482">
            <v>51100</v>
          </cell>
          <cell r="G2482" t="str">
            <v>PISTOIA</v>
          </cell>
          <cell r="H2482" t="str">
            <v>PT</v>
          </cell>
          <cell r="I2482" t="str">
            <v>ITALIA</v>
          </cell>
          <cell r="J2482" t="str">
            <v>347-9507227</v>
          </cell>
        </row>
        <row r="2483">
          <cell r="B2483">
            <v>7008</v>
          </cell>
          <cell r="C2483" t="str">
            <v>TOSINI STEFANO</v>
          </cell>
          <cell r="D2483" t="str">
            <v>TSNSFN81E22B157 Z</v>
          </cell>
          <cell r="E2483" t="str">
            <v>VIA MADONNINA DEL  BOSCHETTO, 50F</v>
          </cell>
          <cell r="F2483">
            <v>25030</v>
          </cell>
          <cell r="G2483" t="str">
            <v>CASTEL MELLA</v>
          </cell>
          <cell r="H2483" t="str">
            <v>BS</v>
          </cell>
          <cell r="I2483" t="str">
            <v>ITALIA</v>
          </cell>
          <cell r="J2483" t="str">
            <v>351-8074086</v>
          </cell>
        </row>
        <row r="2484">
          <cell r="B2484">
            <v>4653</v>
          </cell>
          <cell r="C2484" t="str">
            <v>TOSONI FABIO</v>
          </cell>
          <cell r="D2484" t="str">
            <v>08882730966 TSNFBA83A26I441O</v>
          </cell>
          <cell r="E2484" t="str">
            <v>VIA M. BUONARROTI, 9</v>
          </cell>
          <cell r="F2484">
            <v>20030</v>
          </cell>
          <cell r="G2484" t="str">
            <v>CORMANO</v>
          </cell>
          <cell r="H2484" t="str">
            <v>MI</v>
          </cell>
          <cell r="I2484" t="str">
            <v>ITALIA</v>
          </cell>
          <cell r="J2484" t="str">
            <v>328-9465426</v>
          </cell>
        </row>
        <row r="2485">
          <cell r="B2485">
            <v>4961</v>
          </cell>
          <cell r="C2485" t="str">
            <v>TOUCH COFFEE S.R. L.</v>
          </cell>
          <cell r="D2485" t="str">
            <v>02565060908 02565060908</v>
          </cell>
          <cell r="E2485" t="str">
            <v>VIALE PORTO TORRES,  155/G</v>
          </cell>
          <cell r="F2485">
            <v>7100</v>
          </cell>
          <cell r="G2485" t="str">
            <v>SASSARI</v>
          </cell>
          <cell r="H2485" t="str">
            <v>SS</v>
          </cell>
          <cell r="I2485" t="str">
            <v>ITALIA</v>
          </cell>
          <cell r="J2485" t="str">
            <v>347-5096439</v>
          </cell>
        </row>
        <row r="2486">
          <cell r="B2486">
            <v>6600</v>
          </cell>
          <cell r="C2486" t="str">
            <v>TRAPANI GUGLIELMO</v>
          </cell>
          <cell r="D2486" t="str">
            <v>01665010086 TRPGLL70M14I138A</v>
          </cell>
          <cell r="E2486" t="str">
            <v>VIA DUCA DEGLI  ABRUZZI, 452</v>
          </cell>
          <cell r="F2486">
            <v>18038</v>
          </cell>
          <cell r="G2486" t="str">
            <v>SANREMO</v>
          </cell>
          <cell r="H2486" t="str">
            <v>IM</v>
          </cell>
          <cell r="I2486" t="str">
            <v>ITALIA</v>
          </cell>
          <cell r="J2486" t="str">
            <v>371-3911152</v>
          </cell>
        </row>
        <row r="2487">
          <cell r="B2487">
            <v>1111</v>
          </cell>
          <cell r="C2487" t="str">
            <v>TRASGO SRL</v>
          </cell>
          <cell r="E2487" t="str">
            <v>VIA GUIDO IL GRANDE,1</v>
          </cell>
          <cell r="F2487">
            <v>28061</v>
          </cell>
          <cell r="G2487" t="str">
            <v>BIANDRATE</v>
          </cell>
          <cell r="H2487" t="str">
            <v>NO</v>
          </cell>
          <cell r="I2487" t="str">
            <v>ITALIA</v>
          </cell>
          <cell r="J2487" t="str">
            <v>0321-838050</v>
          </cell>
        </row>
        <row r="2488">
          <cell r="B2488">
            <v>4561</v>
          </cell>
          <cell r="C2488" t="str">
            <v>TRE P CARRELLI S.R. L.</v>
          </cell>
          <cell r="D2488" t="str">
            <v>04405380017 04405380017</v>
          </cell>
          <cell r="E2488" t="str">
            <v>CORSO DUCA DEGLI  ABRUZZI, 14</v>
          </cell>
          <cell r="F2488">
            <v>10156</v>
          </cell>
          <cell r="G2488" t="str">
            <v>TORINO</v>
          </cell>
          <cell r="H2488" t="str">
            <v>TO</v>
          </cell>
          <cell r="I2488" t="str">
            <v>ITALIA</v>
          </cell>
          <cell r="J2488" t="str">
            <v>011-4704038</v>
          </cell>
        </row>
        <row r="2489">
          <cell r="B2489">
            <v>3570</v>
          </cell>
          <cell r="C2489" t="str">
            <v>TREVA S.A.S. DI  DINUZZI  ALESSANDRO &amp; C.</v>
          </cell>
          <cell r="D2489" t="str">
            <v>06622990965 06622990965</v>
          </cell>
          <cell r="E2489" t="str">
            <v>VIA VITTORIO VENETO,  8/A</v>
          </cell>
          <cell r="F2489">
            <v>20091</v>
          </cell>
          <cell r="G2489" t="str">
            <v>BRESSO</v>
          </cell>
          <cell r="H2489" t="str">
            <v>MI</v>
          </cell>
          <cell r="I2489" t="str">
            <v>ITALIA</v>
          </cell>
          <cell r="J2489" t="str">
            <v>393-3753829 393-3828381</v>
          </cell>
        </row>
        <row r="2490">
          <cell r="B2490">
            <v>4349</v>
          </cell>
          <cell r="C2490" t="str">
            <v>TRIS FAMILY DI  DEBORA RITA  MALAPONTI S.A.S.</v>
          </cell>
          <cell r="D2490" t="str">
            <v>01530710332 01530710332</v>
          </cell>
          <cell r="E2490" t="str">
            <v>VIA XXI APRILE, 70</v>
          </cell>
          <cell r="F2490">
            <v>29121</v>
          </cell>
          <cell r="G2490" t="str">
            <v>PIACENZA</v>
          </cell>
          <cell r="H2490" t="str">
            <v>PC</v>
          </cell>
          <cell r="I2490" t="str">
            <v>ITALIA</v>
          </cell>
          <cell r="J2490" t="str">
            <v>335-2335661</v>
          </cell>
        </row>
        <row r="2491">
          <cell r="B2491">
            <v>6946</v>
          </cell>
          <cell r="C2491" t="str">
            <v>TRISCARI ANTHONY</v>
          </cell>
          <cell r="D2491" t="str">
            <v>TRSNNN61B23L308 V</v>
          </cell>
          <cell r="E2491" t="str">
            <v>VIA GIUSEPPE  GARIBALDI 19</v>
          </cell>
          <cell r="F2491">
            <v>33010</v>
          </cell>
          <cell r="G2491" t="str">
            <v>OSOPPO</v>
          </cell>
          <cell r="H2491" t="str">
            <v>UD</v>
          </cell>
          <cell r="I2491" t="str">
            <v>ITALIA</v>
          </cell>
          <cell r="J2491" t="str">
            <v>338-3894307</v>
          </cell>
        </row>
        <row r="2492">
          <cell r="B2492">
            <v>3862</v>
          </cell>
          <cell r="C2492" t="str">
            <v>TRISERVICE DI  SARTORI  FRANCESCA</v>
          </cell>
          <cell r="D2492" t="str">
            <v>01190020113 SRTFNC77C58E463 T</v>
          </cell>
          <cell r="E2492" t="str">
            <v>VIA BIANCAMANO, 280/A</v>
          </cell>
          <cell r="F2492">
            <v>19137</v>
          </cell>
          <cell r="G2492" t="str">
            <v>LA SPEZIA</v>
          </cell>
          <cell r="H2492" t="str">
            <v>SP</v>
          </cell>
          <cell r="I2492" t="str">
            <v>ITALIA</v>
          </cell>
          <cell r="J2492" t="str">
            <v>335-1758096</v>
          </cell>
        </row>
        <row r="2493">
          <cell r="B2493">
            <v>4686</v>
          </cell>
          <cell r="C2493" t="str">
            <v>TRIULZI PAOLO</v>
          </cell>
          <cell r="D2493" t="str">
            <v>TRLPLA77B18F205R</v>
          </cell>
          <cell r="E2493" t="str">
            <v>VIA SILVIO PELLICO, 1/3</v>
          </cell>
          <cell r="F2493">
            <v>21047</v>
          </cell>
          <cell r="G2493" t="str">
            <v>SARONNO</v>
          </cell>
          <cell r="H2493" t="str">
            <v>VA</v>
          </cell>
          <cell r="I2493" t="str">
            <v>ITALIA</v>
          </cell>
          <cell r="J2493" t="str">
            <v>348-8956900</v>
          </cell>
        </row>
        <row r="2494">
          <cell r="B2494">
            <v>3598</v>
          </cell>
          <cell r="C2494" t="str">
            <v>TRIVENDING S.P.A.</v>
          </cell>
          <cell r="D2494" t="str">
            <v>01155980269 01155980269</v>
          </cell>
          <cell r="E2494" t="str">
            <v>VIA MONSIGNOR G. BABOLIN, 10</v>
          </cell>
          <cell r="F2494">
            <v>35024</v>
          </cell>
          <cell r="G2494" t="str">
            <v>BOVOLENTA</v>
          </cell>
          <cell r="H2494" t="str">
            <v>PD</v>
          </cell>
          <cell r="I2494" t="str">
            <v>ITALIA</v>
          </cell>
          <cell r="J2494" t="str">
            <v>049-8629230</v>
          </cell>
        </row>
        <row r="2495">
          <cell r="B2495">
            <v>7157</v>
          </cell>
          <cell r="C2495" t="str">
            <v>TROLESE CRISTIAN</v>
          </cell>
          <cell r="D2495" t="str">
            <v>TRLCST70P06D325 Y</v>
          </cell>
          <cell r="E2495" t="str">
            <v>VIA UNGHERIA, 8</v>
          </cell>
          <cell r="F2495">
            <v>35028</v>
          </cell>
          <cell r="G2495" t="str">
            <v>PIOVE DI SACCO</v>
          </cell>
          <cell r="H2495" t="str">
            <v>PD</v>
          </cell>
          <cell r="I2495" t="str">
            <v>ITALIA</v>
          </cell>
          <cell r="J2495" t="str">
            <v>335-6064646</v>
          </cell>
        </row>
        <row r="2496">
          <cell r="B2496">
            <v>3683</v>
          </cell>
          <cell r="C2496" t="str">
            <v>TROLL SRL</v>
          </cell>
          <cell r="D2496" t="str">
            <v>02539580239 02539580239</v>
          </cell>
          <cell r="E2496" t="str">
            <v>VIA PISA, 4</v>
          </cell>
          <cell r="F2496">
            <v>37053</v>
          </cell>
          <cell r="G2496" t="str">
            <v>CEREA</v>
          </cell>
          <cell r="H2496" t="str">
            <v>VR</v>
          </cell>
          <cell r="I2496" t="str">
            <v>ITALIA</v>
          </cell>
          <cell r="J2496" t="str">
            <v>0442-320211</v>
          </cell>
        </row>
        <row r="2497">
          <cell r="B2497">
            <v>6860</v>
          </cell>
          <cell r="C2497" t="str">
            <v>TRONCOFFEE DI  TRONATI LOREDANA</v>
          </cell>
          <cell r="D2497" t="str">
            <v>04301670164 TRNLDN70S56L049 M</v>
          </cell>
          <cell r="E2497" t="str">
            <v>VIA G. MAZZINI, 48</v>
          </cell>
          <cell r="F2497">
            <v>24034</v>
          </cell>
          <cell r="G2497" t="str">
            <v>CISANO  BERGAMASCO</v>
          </cell>
          <cell r="H2497" t="str">
            <v>BG</v>
          </cell>
          <cell r="I2497" t="str">
            <v>ITALIA</v>
          </cell>
          <cell r="J2497" t="str">
            <v>035-781474</v>
          </cell>
        </row>
        <row r="2498">
          <cell r="B2498">
            <v>7360</v>
          </cell>
          <cell r="C2498" t="str">
            <v>TRONCOFFEE SRLS</v>
          </cell>
          <cell r="D2498" t="str">
            <v>04478700166 04478700166</v>
          </cell>
          <cell r="E2498" t="str">
            <v>VIA G. MAZZINI, 48</v>
          </cell>
          <cell r="F2498">
            <v>24034</v>
          </cell>
          <cell r="G2498" t="str">
            <v>CISANO  BERGAMASCO</v>
          </cell>
          <cell r="H2498" t="str">
            <v>BG</v>
          </cell>
          <cell r="I2498" t="str">
            <v>ITALIA</v>
          </cell>
          <cell r="J2498" t="str">
            <v>035-781474</v>
          </cell>
        </row>
        <row r="2499">
          <cell r="B2499">
            <v>6879</v>
          </cell>
          <cell r="C2499" t="str">
            <v>TRONCONI LUCA</v>
          </cell>
          <cell r="D2499" t="str">
            <v>TRNLCU75H15D869 H</v>
          </cell>
          <cell r="E2499" t="str">
            <v>VIALE TOSCANINI, 14</v>
          </cell>
          <cell r="F2499">
            <v>21013</v>
          </cell>
          <cell r="G2499" t="str">
            <v>GALLARATE</v>
          </cell>
          <cell r="H2499" t="str">
            <v>VA</v>
          </cell>
          <cell r="I2499" t="str">
            <v>ITALIA</v>
          </cell>
          <cell r="J2499" t="str">
            <v>347-0175469</v>
          </cell>
        </row>
        <row r="2500">
          <cell r="B2500">
            <v>7140</v>
          </cell>
          <cell r="C2500" t="str">
            <v>TROTTA CAMILLA</v>
          </cell>
          <cell r="D2500" t="str">
            <v>TRTCLL92L69E919H</v>
          </cell>
          <cell r="E2500" t="str">
            <v>VIA TEATRO, 1</v>
          </cell>
          <cell r="F2500">
            <v>85044</v>
          </cell>
          <cell r="G2500" t="str">
            <v>LAURIA</v>
          </cell>
          <cell r="H2500" t="str">
            <v>PZ</v>
          </cell>
          <cell r="I2500" t="str">
            <v>ITALIA</v>
          </cell>
          <cell r="J2500" t="str">
            <v>340-6340553</v>
          </cell>
        </row>
        <row r="2501">
          <cell r="B2501">
            <v>7313</v>
          </cell>
          <cell r="C2501" t="str">
            <v>TROTTA LUIGI</v>
          </cell>
          <cell r="D2501" t="str">
            <v>TRTLGU64D08E506 M</v>
          </cell>
          <cell r="E2501" t="str">
            <v>VIA G. PARINI, 30</v>
          </cell>
          <cell r="F2501">
            <v>73100</v>
          </cell>
          <cell r="G2501" t="str">
            <v>LECCE</v>
          </cell>
          <cell r="H2501" t="str">
            <v>LE</v>
          </cell>
          <cell r="I2501" t="str">
            <v>ITALIA</v>
          </cell>
          <cell r="J2501" t="str">
            <v>392-1582056</v>
          </cell>
        </row>
        <row r="2502">
          <cell r="B2502">
            <v>4637</v>
          </cell>
          <cell r="C2502" t="str">
            <v>TUMMINIA  ANTONINO</v>
          </cell>
          <cell r="D2502" t="str">
            <v>TMMNNN60B24G273 L</v>
          </cell>
          <cell r="E2502" t="str">
            <v>CORSO SARDEGNA, 111/A</v>
          </cell>
          <cell r="F2502">
            <v>16139</v>
          </cell>
          <cell r="G2502" t="str">
            <v>GENOVA</v>
          </cell>
          <cell r="H2502" t="str">
            <v>GE</v>
          </cell>
          <cell r="I2502" t="str">
            <v>ITALIA</v>
          </cell>
          <cell r="J2502" t="str">
            <v>335-5279223</v>
          </cell>
        </row>
        <row r="2503">
          <cell r="B2503">
            <v>2274</v>
          </cell>
          <cell r="C2503" t="str">
            <v>TURBO WASH 2002  DI PONZO FLAVIO &amp;  C. SNC</v>
          </cell>
          <cell r="D2503" t="str">
            <v>08361470019 08361470019</v>
          </cell>
          <cell r="E2503" t="str">
            <v>CORSO CHIERI, 184</v>
          </cell>
          <cell r="F2503">
            <v>10132</v>
          </cell>
          <cell r="G2503" t="str">
            <v>TORINO</v>
          </cell>
          <cell r="H2503" t="str">
            <v>TO</v>
          </cell>
          <cell r="I2503" t="str">
            <v>ITALIA</v>
          </cell>
          <cell r="J2503" t="str">
            <v>335-7248237</v>
          </cell>
        </row>
        <row r="2504">
          <cell r="B2504">
            <v>3409</v>
          </cell>
          <cell r="C2504" t="str">
            <v>TURBOMATIC S. A.S. DI ELENA STERN</v>
          </cell>
          <cell r="D2504" t="str">
            <v>09478700017 09478700017</v>
          </cell>
          <cell r="E2504" t="str">
            <v>VIA S. FRANCESCO D' ASSISI, 18</v>
          </cell>
          <cell r="F2504">
            <v>10122</v>
          </cell>
          <cell r="G2504" t="str">
            <v>TORINO</v>
          </cell>
          <cell r="H2504" t="str">
            <v>TO</v>
          </cell>
          <cell r="I2504" t="str">
            <v>ITALIA</v>
          </cell>
          <cell r="J2504" t="str">
            <v>011-542046</v>
          </cell>
        </row>
        <row r="2505">
          <cell r="B2505">
            <v>7033</v>
          </cell>
          <cell r="C2505" t="str">
            <v>TURCO LUCIA</v>
          </cell>
          <cell r="D2505" t="str">
            <v>TRCLCU84C57A512 L</v>
          </cell>
          <cell r="E2505" t="str">
            <v>VIA DEL CORPUS DOMINI  TRAVERSA I, 38</v>
          </cell>
          <cell r="F2505">
            <v>55012</v>
          </cell>
          <cell r="G2505" t="str">
            <v>CAPANNORI</v>
          </cell>
          <cell r="H2505" t="str">
            <v>LU</v>
          </cell>
          <cell r="I2505" t="str">
            <v>ITALIA</v>
          </cell>
          <cell r="J2505" t="str">
            <v>340-1068431</v>
          </cell>
        </row>
        <row r="2506">
          <cell r="B2506">
            <v>4196</v>
          </cell>
          <cell r="C2506" t="str">
            <v>TURCONI  GRAZIELLA</v>
          </cell>
          <cell r="D2506" t="str">
            <v>04300760966 TRCGZL43A61I138 V</v>
          </cell>
          <cell r="E2506" t="str">
            <v>VIA P. ACCURSIO, 14</v>
          </cell>
          <cell r="F2506">
            <v>20156</v>
          </cell>
          <cell r="G2506" t="str">
            <v>MILANO</v>
          </cell>
          <cell r="H2506" t="str">
            <v>MI</v>
          </cell>
          <cell r="I2506" t="str">
            <v>ITALIA</v>
          </cell>
          <cell r="J2506" t="str">
            <v xml:space="preserve">02-39436380 </v>
          </cell>
        </row>
        <row r="2507">
          <cell r="B2507">
            <v>4237</v>
          </cell>
          <cell r="C2507" t="str">
            <v>TURIN MATIC  DI  VERCELLONE LUCA</v>
          </cell>
          <cell r="D2507" t="str">
            <v>10769240010 VRCLCU72M02L219 S</v>
          </cell>
          <cell r="E2507" t="str">
            <v>VIA QUARTO DEI MILLE,  17</v>
          </cell>
          <cell r="F2507">
            <v>10095</v>
          </cell>
          <cell r="G2507" t="str">
            <v>GRUGLIASCO</v>
          </cell>
          <cell r="H2507" t="str">
            <v>TO</v>
          </cell>
          <cell r="I2507" t="str">
            <v>ITALIA</v>
          </cell>
          <cell r="J2507" t="str">
            <v xml:space="preserve">338-3709751 </v>
          </cell>
        </row>
        <row r="2508">
          <cell r="B2508">
            <v>4543</v>
          </cell>
          <cell r="C2508" t="str">
            <v>TURIN TRADE DI  SOLIS MARLENA</v>
          </cell>
          <cell r="D2508" t="str">
            <v>11105660010 SLSMLN68A62Z127 N</v>
          </cell>
          <cell r="E2508" t="str">
            <v>VIA VERCELLI, 6</v>
          </cell>
          <cell r="F2508">
            <v>10036</v>
          </cell>
          <cell r="G2508" t="str">
            <v>SETTIMO  TORINESE</v>
          </cell>
          <cell r="H2508" t="str">
            <v>TO</v>
          </cell>
          <cell r="I2508" t="str">
            <v>ITALIA</v>
          </cell>
          <cell r="J2508" t="str">
            <v>329-4121196</v>
          </cell>
        </row>
        <row r="2509">
          <cell r="B2509">
            <v>4225</v>
          </cell>
          <cell r="C2509" t="str">
            <v>TURIN TRADE SRL  A SOCIO UNICO</v>
          </cell>
          <cell r="D2509" t="str">
            <v>10200580016 10200580016</v>
          </cell>
          <cell r="E2509" t="str">
            <v>CORSO SVIZZERA, 185/B</v>
          </cell>
          <cell r="F2509">
            <v>10149</v>
          </cell>
          <cell r="G2509" t="str">
            <v>TORINO</v>
          </cell>
          <cell r="H2509" t="str">
            <v>TO</v>
          </cell>
          <cell r="I2509" t="str">
            <v>ITALIA</v>
          </cell>
          <cell r="J2509" t="str">
            <v>329-4121196</v>
          </cell>
        </row>
        <row r="2510">
          <cell r="B2510">
            <v>6864</v>
          </cell>
          <cell r="C2510" t="str">
            <v>TUTTO CAFFE' DI  ORANI KOSTANDIN</v>
          </cell>
          <cell r="D2510" t="str">
            <v>02544790062 RNOKTN95E24Z100 L</v>
          </cell>
          <cell r="E2510" t="str">
            <v>CORSO ROMA, 9</v>
          </cell>
          <cell r="F2510">
            <v>15011</v>
          </cell>
          <cell r="G2510" t="str">
            <v>ACQUI TERME</v>
          </cell>
          <cell r="H2510" t="str">
            <v>AL</v>
          </cell>
          <cell r="I2510" t="str">
            <v>ITALIA</v>
          </cell>
          <cell r="J2510" t="str">
            <v>328-1592171</v>
          </cell>
        </row>
        <row r="2511">
          <cell r="B2511">
            <v>6670</v>
          </cell>
          <cell r="C2511" t="str">
            <v>TUTTOCAFFE'  DI  CANTONETTI  FEDERICA</v>
          </cell>
          <cell r="D2511" t="str">
            <v>11939230014 CNTFRC84E44G674 Z</v>
          </cell>
          <cell r="E2511" t="str">
            <v>VIA MATTEOTTI,2</v>
          </cell>
          <cell r="F2511">
            <v>10066</v>
          </cell>
          <cell r="G2511" t="str">
            <v>TORRE PELLICE</v>
          </cell>
          <cell r="H2511" t="str">
            <v>TO</v>
          </cell>
          <cell r="I2511" t="str">
            <v>ITALIA</v>
          </cell>
          <cell r="J2511" t="str">
            <v>346-6578312</v>
          </cell>
        </row>
        <row r="2512">
          <cell r="B2512">
            <v>6842</v>
          </cell>
          <cell r="C2512" t="str">
            <v>TWIN'S COFFEE DI  GEMELLO ANTONIO &amp; C. S.N.C.</v>
          </cell>
          <cell r="D2512" t="str">
            <v>12117290010 12117290010</v>
          </cell>
          <cell r="E2512" t="str">
            <v>VIA GIOVANNI MAROCCO, 15</v>
          </cell>
          <cell r="F2512">
            <v>10040</v>
          </cell>
          <cell r="G2512" t="str">
            <v>RIVALTA DI  TORINO</v>
          </cell>
          <cell r="H2512" t="str">
            <v>TO</v>
          </cell>
          <cell r="I2512" t="str">
            <v>ITALIA</v>
          </cell>
          <cell r="J2512" t="str">
            <v xml:space="preserve">011-9040395 </v>
          </cell>
        </row>
        <row r="2513">
          <cell r="B2513">
            <v>7351</v>
          </cell>
          <cell r="C2513" t="str">
            <v>TYPICA DISTRIBUTORI CAFFE'</v>
          </cell>
          <cell r="D2513" t="str">
            <v>12386190016 LTRNLN86P01L219X</v>
          </cell>
          <cell r="E2513" t="str">
            <v>CORSO TORINO, 2</v>
          </cell>
          <cell r="F2513">
            <v>10098</v>
          </cell>
          <cell r="G2513" t="str">
            <v>RIVOLI</v>
          </cell>
          <cell r="H2513" t="str">
            <v>TO</v>
          </cell>
          <cell r="I2513" t="str">
            <v>ITALIA</v>
          </cell>
          <cell r="J2513" t="str">
            <v>320-2985304</v>
          </cell>
        </row>
        <row r="2514">
          <cell r="B2514">
            <v>4936</v>
          </cell>
          <cell r="C2514" t="str">
            <v>TYT TAKE YOUR  TIME VENDING S.R.L. IN LIQUIDAZIONE</v>
          </cell>
          <cell r="D2514" t="str">
            <v>04177900166 04177900166</v>
          </cell>
          <cell r="E2514" t="str">
            <v>VIA LOCATELLI, 62</v>
          </cell>
          <cell r="F2514">
            <v>24121</v>
          </cell>
          <cell r="G2514" t="str">
            <v>BERGAMO</v>
          </cell>
          <cell r="H2514" t="str">
            <v>BG</v>
          </cell>
          <cell r="I2514" t="str">
            <v>ITALIA</v>
          </cell>
          <cell r="J2514" t="str">
            <v>334-6401089</v>
          </cell>
        </row>
        <row r="2515">
          <cell r="B2515">
            <v>5372</v>
          </cell>
          <cell r="C2515" t="str">
            <v>UBI LEASING S.P. A.</v>
          </cell>
          <cell r="D2515" t="str">
            <v>01000500171 01000500171</v>
          </cell>
          <cell r="E2515" t="str">
            <v>VIA CEFALONIA, 74</v>
          </cell>
          <cell r="F2515">
            <v>25124</v>
          </cell>
          <cell r="G2515" t="str">
            <v>BRESCIA</v>
          </cell>
          <cell r="H2515" t="str">
            <v>BS</v>
          </cell>
          <cell r="I2515" t="str">
            <v>ITALIA</v>
          </cell>
          <cell r="J2515" t="str">
            <v>030-2976561</v>
          </cell>
        </row>
        <row r="2516">
          <cell r="B2516">
            <v>6839</v>
          </cell>
          <cell r="C2516" t="str">
            <v>UBI LEASING S.P.A.</v>
          </cell>
          <cell r="D2516" t="str">
            <v>04334690163 01000500171</v>
          </cell>
          <cell r="E2516" t="str">
            <v>VIA CEFALONIA, 74</v>
          </cell>
          <cell r="F2516">
            <v>25124</v>
          </cell>
          <cell r="G2516" t="str">
            <v>BRESCIA</v>
          </cell>
          <cell r="H2516" t="str">
            <v>BS</v>
          </cell>
          <cell r="I2516" t="str">
            <v>ITALIA</v>
          </cell>
          <cell r="J2516" t="str">
            <v>0731-719558</v>
          </cell>
        </row>
        <row r="2517">
          <cell r="B2517">
            <v>6712</v>
          </cell>
          <cell r="C2517" t="str">
            <v>UBS SWITZERLAND  AG</v>
          </cell>
          <cell r="D2517" t="str">
            <v>116303292</v>
          </cell>
          <cell r="E2517" t="str">
            <v>PIAZZETTA DELLA POSTA</v>
          </cell>
          <cell r="F2517">
            <v>6900</v>
          </cell>
          <cell r="G2517" t="str">
            <v>LUGANO  -  SVIZZERA -</v>
          </cell>
          <cell r="I2517" t="str">
            <v>SVIZZERA</v>
          </cell>
          <cell r="J2517" t="str">
            <v>004191-8017262</v>
          </cell>
        </row>
        <row r="2518">
          <cell r="B2518">
            <v>6742</v>
          </cell>
          <cell r="C2518" t="str">
            <v>UN BEL CAFE DI  MARTINA LA BELLA</v>
          </cell>
          <cell r="D2518" t="str">
            <v>08806520964 LBLMTN89E55L872P</v>
          </cell>
          <cell r="E2518" t="str">
            <v>CORSO GENOVA, 67</v>
          </cell>
          <cell r="F2518">
            <v>27029</v>
          </cell>
          <cell r="G2518" t="str">
            <v>VIGEVANO</v>
          </cell>
          <cell r="H2518" t="str">
            <v>PV</v>
          </cell>
          <cell r="I2518" t="str">
            <v>ITALIA</v>
          </cell>
          <cell r="J2518" t="str">
            <v>347-6000155</v>
          </cell>
        </row>
        <row r="2519">
          <cell r="B2519">
            <v>6833</v>
          </cell>
          <cell r="C2519" t="str">
            <v>UN BEL CAFFE' S. R.L.S.</v>
          </cell>
          <cell r="D2519" t="str">
            <v>02755870181</v>
          </cell>
          <cell r="E2519" t="str">
            <v>VIA VIGNATE, 92/54</v>
          </cell>
          <cell r="F2519">
            <v>27025</v>
          </cell>
          <cell r="G2519" t="str">
            <v>GAMBOLO'</v>
          </cell>
          <cell r="H2519" t="str">
            <v>PV</v>
          </cell>
          <cell r="I2519" t="str">
            <v>ITALIA</v>
          </cell>
          <cell r="J2519" t="str">
            <v>347-6000155</v>
          </cell>
        </row>
        <row r="2520">
          <cell r="B2520">
            <v>6639</v>
          </cell>
          <cell r="C2520" t="str">
            <v>UN MOMENTO DI  RELAX S.A.S.</v>
          </cell>
          <cell r="D2520" t="str">
            <v>03703290134 03703290134</v>
          </cell>
          <cell r="E2520" t="str">
            <v>VIA GIACOMO  MATTEOTTI, 30</v>
          </cell>
          <cell r="F2520">
            <v>22020</v>
          </cell>
          <cell r="G2520" t="str">
            <v>FALOPPIO</v>
          </cell>
          <cell r="H2520" t="str">
            <v>CO</v>
          </cell>
          <cell r="I2520" t="str">
            <v>ITALIA</v>
          </cell>
          <cell r="J2520" t="str">
            <v>347-6459552  CATIA 340-7841907  VERUSCKA</v>
          </cell>
        </row>
        <row r="2521">
          <cell r="B2521">
            <v>9819</v>
          </cell>
          <cell r="C2521" t="str">
            <v>UNBROKEN DI COLANGELO VINCENZO</v>
          </cell>
          <cell r="E2521" t="str">
            <v>VIA SANT'ANTONIO, 20</v>
          </cell>
          <cell r="F2521">
            <v>37036</v>
          </cell>
          <cell r="G2521" t="str">
            <v>SAN MARTINO BUON ALBERGO</v>
          </cell>
          <cell r="H2521" t="str">
            <v>VR</v>
          </cell>
          <cell r="I2521" t="str">
            <v>ITALIA</v>
          </cell>
          <cell r="J2521" t="str">
            <v>342-0086565</v>
          </cell>
        </row>
        <row r="2522">
          <cell r="B2522">
            <v>5357</v>
          </cell>
          <cell r="C2522" t="str">
            <v>UNIMATIC SERVICE  S.A.S.</v>
          </cell>
          <cell r="D2522" t="str">
            <v>08297650015 08297650015</v>
          </cell>
          <cell r="E2522" t="str">
            <v>C.SO MANZONI, 34/I</v>
          </cell>
          <cell r="F2522">
            <v>12046</v>
          </cell>
          <cell r="G2522" t="str">
            <v>MONTA'</v>
          </cell>
          <cell r="H2522" t="str">
            <v>CN</v>
          </cell>
          <cell r="I2522" t="str">
            <v>ITALIA</v>
          </cell>
          <cell r="J2522" t="str">
            <v>342-5163040</v>
          </cell>
        </row>
        <row r="2523">
          <cell r="B2523">
            <v>3739</v>
          </cell>
          <cell r="C2523" t="str">
            <v>UNIVER-SAL M. VIOLA ISPOLKA SP. JAWNA</v>
          </cell>
          <cell r="D2523" t="str">
            <v>5471742637</v>
          </cell>
          <cell r="E2523" t="str">
            <v>UL.ZYWIECKA, 158</v>
          </cell>
          <cell r="F2523">
            <v>43300</v>
          </cell>
          <cell r="G2523" t="str">
            <v>BIELSKO-BIALA</v>
          </cell>
          <cell r="I2523" t="str">
            <v>POLONIA</v>
          </cell>
          <cell r="J2523" t="str">
            <v>0048-601066669</v>
          </cell>
        </row>
        <row r="2524">
          <cell r="B2524">
            <v>6577</v>
          </cell>
          <cell r="C2524" t="str">
            <v>UNIVERSO CAPSULE  DI BILARDI  GIUSEPPE</v>
          </cell>
          <cell r="D2524" t="str">
            <v>11187380016 BLRGPP72L01Z112T</v>
          </cell>
          <cell r="E2524" t="str">
            <v>CORSO MONTE GRAPPA,  74/A</v>
          </cell>
          <cell r="F2524">
            <v>10145</v>
          </cell>
          <cell r="G2524" t="str">
            <v>TORINO</v>
          </cell>
          <cell r="H2524" t="str">
            <v>TO</v>
          </cell>
          <cell r="I2524" t="str">
            <v>ITALIA</v>
          </cell>
          <cell r="J2524" t="str">
            <v>011-5363062</v>
          </cell>
        </row>
        <row r="2525">
          <cell r="B2525">
            <v>4665</v>
          </cell>
          <cell r="C2525" t="str">
            <v>UNIVERSO CIALDE  DI LAURA ALI'</v>
          </cell>
          <cell r="D2525" t="str">
            <v>11321900018 LAILRA65A66L219S</v>
          </cell>
          <cell r="E2525" t="str">
            <v>VIA SETTIMO, 53</v>
          </cell>
          <cell r="F2525">
            <v>10071</v>
          </cell>
          <cell r="G2525" t="str">
            <v>BORGARO  TORINESE</v>
          </cell>
          <cell r="H2525" t="str">
            <v>TO</v>
          </cell>
          <cell r="I2525" t="str">
            <v>ITALIA</v>
          </cell>
          <cell r="J2525" t="str">
            <v xml:space="preserve">327-3287440 </v>
          </cell>
        </row>
        <row r="2526">
          <cell r="B2526">
            <v>4761</v>
          </cell>
          <cell r="C2526" t="str">
            <v>UPPER COFFEE DI  DOMENICO RAHO</v>
          </cell>
          <cell r="D2526" t="str">
            <v>11325360011 RHADNC82R12L219 K</v>
          </cell>
          <cell r="E2526" t="str">
            <v>VIA CANDIOLO, 21</v>
          </cell>
          <cell r="F2526">
            <v>10100</v>
          </cell>
          <cell r="G2526" t="str">
            <v>TORINO</v>
          </cell>
          <cell r="H2526" t="str">
            <v>TO</v>
          </cell>
          <cell r="I2526" t="str">
            <v>ITALIA</v>
          </cell>
          <cell r="J2526" t="str">
            <v>393-9032759</v>
          </cell>
        </row>
        <row r="2527">
          <cell r="B2527">
            <v>2763</v>
          </cell>
          <cell r="C2527" t="str">
            <v>URBAN COFFEE  S.A.S. DI  ANDREOZZI  ALFONSO E C.</v>
          </cell>
          <cell r="D2527" t="str">
            <v>05581900965 05581900965</v>
          </cell>
          <cell r="E2527" t="str">
            <v>VIA P. NENNI, 27</v>
          </cell>
          <cell r="F2527">
            <v>20021</v>
          </cell>
          <cell r="G2527" t="str">
            <v>BOLLATE</v>
          </cell>
          <cell r="H2527" t="str">
            <v>MI</v>
          </cell>
          <cell r="I2527" t="str">
            <v>ITALIA</v>
          </cell>
          <cell r="J2527" t="str">
            <v>340-5380711</v>
          </cell>
        </row>
        <row r="2528">
          <cell r="B2528">
            <v>4712</v>
          </cell>
          <cell r="C2528" t="str">
            <v>UTI TRANSPORT S.R. L.</v>
          </cell>
          <cell r="D2528" t="str">
            <v>10273450014 10273450014</v>
          </cell>
          <cell r="E2528" t="str">
            <v>VIA PREINERA, 40</v>
          </cell>
          <cell r="F2528">
            <v>10050</v>
          </cell>
          <cell r="G2528" t="str">
            <v>VILLAR  FOCCHIARDO</v>
          </cell>
          <cell r="H2528" t="str">
            <v>TO</v>
          </cell>
          <cell r="I2528" t="str">
            <v>ITALIA</v>
          </cell>
        </row>
        <row r="2529">
          <cell r="B2529">
            <v>1535</v>
          </cell>
          <cell r="C2529" t="str">
            <v>V. &amp; V.  S.A.S. DI   VISENTIN P. &amp; C.</v>
          </cell>
          <cell r="D2529" t="str">
            <v>01719020065 01719020065</v>
          </cell>
          <cell r="E2529" t="str">
            <v>C.SO VIRGINIA MARINI,  23</v>
          </cell>
          <cell r="F2529">
            <v>15100</v>
          </cell>
          <cell r="G2529" t="str">
            <v>ALESSANDRIA</v>
          </cell>
          <cell r="H2529" t="str">
            <v>AL</v>
          </cell>
          <cell r="I2529" t="str">
            <v>ITALIA</v>
          </cell>
          <cell r="J2529" t="str">
            <v>0131-253456</v>
          </cell>
        </row>
        <row r="2530">
          <cell r="B2530">
            <v>171</v>
          </cell>
          <cell r="C2530" t="str">
            <v>V.D.A.  S.R.L.</v>
          </cell>
          <cell r="D2530" t="str">
            <v>00472570027 00472570027</v>
          </cell>
          <cell r="E2530" t="str">
            <v>VIA GALILEO FERRARIS,  73</v>
          </cell>
          <cell r="F2530">
            <v>13044</v>
          </cell>
          <cell r="G2530" t="str">
            <v>CRESCENTINO</v>
          </cell>
          <cell r="H2530" t="str">
            <v>VC</v>
          </cell>
          <cell r="I2530" t="str">
            <v>ITALIA</v>
          </cell>
          <cell r="J2530" t="str">
            <v xml:space="preserve">0161-842155 </v>
          </cell>
        </row>
        <row r="2531">
          <cell r="B2531">
            <v>4414</v>
          </cell>
          <cell r="C2531" t="str">
            <v>V.R.E.A.R. DI  PELLEGRINI  STEFANO</v>
          </cell>
          <cell r="D2531" t="str">
            <v>02834490100 PLLSFN64H18D969N</v>
          </cell>
          <cell r="E2531" t="str">
            <v>VIALE CARLO CANEPA,  22/ROSSO</v>
          </cell>
          <cell r="F2531">
            <v>16153</v>
          </cell>
          <cell r="G2531" t="str">
            <v>GENOVA</v>
          </cell>
          <cell r="H2531" t="str">
            <v>GE</v>
          </cell>
          <cell r="I2531" t="str">
            <v>ITALIA</v>
          </cell>
          <cell r="J2531" t="str">
            <v xml:space="preserve">010-6040644 </v>
          </cell>
        </row>
        <row r="2532">
          <cell r="B2532">
            <v>4920</v>
          </cell>
          <cell r="C2532" t="str">
            <v>VACCHETTI  ROBERTO</v>
          </cell>
          <cell r="D2532" t="str">
            <v>02961410046 VCCRRT69T29A124 D</v>
          </cell>
          <cell r="E2532" t="str">
            <v>FRAZIONE CASTELROTTO,  66</v>
          </cell>
          <cell r="F2532">
            <v>12050</v>
          </cell>
          <cell r="G2532" t="str">
            <v>GUARENE</v>
          </cell>
          <cell r="H2532" t="str">
            <v>CN</v>
          </cell>
          <cell r="I2532" t="str">
            <v>ITALIA</v>
          </cell>
          <cell r="J2532" t="str">
            <v>320-6951095</v>
          </cell>
        </row>
        <row r="2533">
          <cell r="B2533">
            <v>7178</v>
          </cell>
          <cell r="C2533" t="str">
            <v>VAIANI BRUNELLA</v>
          </cell>
          <cell r="D2533" t="str">
            <v>VNABNL56T52A390 M</v>
          </cell>
          <cell r="E2533" t="str">
            <v>VIA ANDREA DORIA, 12</v>
          </cell>
          <cell r="F2533">
            <v>52100</v>
          </cell>
          <cell r="G2533" t="str">
            <v>AREZZO</v>
          </cell>
          <cell r="H2533" t="str">
            <v>AR</v>
          </cell>
          <cell r="I2533" t="str">
            <v>ITALIA</v>
          </cell>
          <cell r="J2533" t="str">
            <v>338-2911942</v>
          </cell>
        </row>
        <row r="2534">
          <cell r="B2534">
            <v>4132</v>
          </cell>
          <cell r="C2534" t="str">
            <v>VALENTINO  STRIPPARO</v>
          </cell>
          <cell r="D2534" t="str">
            <v>03227240961 STRVNT67E14F205H</v>
          </cell>
          <cell r="E2534" t="str">
            <v>VIA BRENTA, 3</v>
          </cell>
          <cell r="F2534">
            <v>20139</v>
          </cell>
          <cell r="G2534" t="str">
            <v>MILANO</v>
          </cell>
          <cell r="H2534" t="str">
            <v>MI</v>
          </cell>
          <cell r="I2534" t="str">
            <v>ITALIA</v>
          </cell>
          <cell r="J2534" t="str">
            <v>340-0771059</v>
          </cell>
        </row>
        <row r="2535">
          <cell r="B2535">
            <v>7404</v>
          </cell>
          <cell r="C2535" t="str">
            <v>VALLETTI LUCIA</v>
          </cell>
          <cell r="D2535" t="str">
            <v>VLLLCU65D66L013Z</v>
          </cell>
          <cell r="E2535" t="str">
            <v>FRAZIONE MILLAURES, 41</v>
          </cell>
          <cell r="F2535">
            <v>10052</v>
          </cell>
          <cell r="G2535" t="str">
            <v>BARDONECCHIA</v>
          </cell>
          <cell r="H2535" t="str">
            <v>TO</v>
          </cell>
          <cell r="I2535" t="str">
            <v>ITALIA</v>
          </cell>
          <cell r="J2535" t="str">
            <v>347-1566715</v>
          </cell>
        </row>
        <row r="2536">
          <cell r="B2536">
            <v>5705</v>
          </cell>
          <cell r="C2536" t="str">
            <v>VALMATIC S.R.L.</v>
          </cell>
          <cell r="D2536" t="str">
            <v>00611860073 00611860073</v>
          </cell>
          <cell r="E2536" t="str">
            <v>LOC. GRANDE  CHARRIERE, 13</v>
          </cell>
          <cell r="F2536">
            <v>11100</v>
          </cell>
          <cell r="G2536" t="str">
            <v>SAINT  CHRISTOPHE-  AOSTA</v>
          </cell>
          <cell r="H2536" t="str">
            <v>AO</v>
          </cell>
          <cell r="I2536" t="str">
            <v>ITALIA</v>
          </cell>
          <cell r="J2536" t="str">
            <v>0165-361021</v>
          </cell>
        </row>
        <row r="2537">
          <cell r="B2537">
            <v>7294</v>
          </cell>
          <cell r="C2537" t="str">
            <v>VALOCCHI GIORGIA</v>
          </cell>
          <cell r="D2537" t="str">
            <v>VLCGRG79L50L103 W</v>
          </cell>
          <cell r="E2537" t="str">
            <v>VIA SAN PIO DA  PIETRELCINA 14</v>
          </cell>
          <cell r="F2537">
            <v>64012</v>
          </cell>
          <cell r="G2537" t="str">
            <v>CAMPLI</v>
          </cell>
          <cell r="H2537" t="str">
            <v>TE</v>
          </cell>
          <cell r="I2537" t="str">
            <v>ITALIA</v>
          </cell>
          <cell r="J2537" t="str">
            <v>320-7706885</v>
          </cell>
        </row>
        <row r="2538">
          <cell r="B2538">
            <v>2475</v>
          </cell>
          <cell r="C2538" t="str">
            <v>VAMM S.R.L.</v>
          </cell>
          <cell r="D2538" t="str">
            <v>02243100027 02243100027</v>
          </cell>
          <cell r="E2538" t="str">
            <v>VIA MONTRIGONE, 121  TER</v>
          </cell>
          <cell r="F2538">
            <v>13011</v>
          </cell>
          <cell r="G2538" t="str">
            <v>BORGOSESIA</v>
          </cell>
          <cell r="H2538" t="str">
            <v>VC</v>
          </cell>
          <cell r="I2538" t="str">
            <v>ITALIA</v>
          </cell>
          <cell r="J2538" t="str">
            <v>0163-27945</v>
          </cell>
        </row>
        <row r="2539">
          <cell r="B2539">
            <v>3069</v>
          </cell>
          <cell r="C2539" t="str">
            <v>VAPORTRIS DI  FOLLINI SERGIO</v>
          </cell>
          <cell r="D2539" t="str">
            <v>01150470332 FLLSRG52L08G535D</v>
          </cell>
          <cell r="E2539" t="str">
            <v>VIA CASE VECCHIE, 59</v>
          </cell>
          <cell r="F2539">
            <v>29020</v>
          </cell>
          <cell r="G2539" t="str">
            <v>NIVIANO DI  RIVERGARO</v>
          </cell>
          <cell r="H2539" t="str">
            <v>PC</v>
          </cell>
          <cell r="I2539" t="str">
            <v>ITALIA</v>
          </cell>
          <cell r="J2539" t="str">
            <v>0523-480455</v>
          </cell>
        </row>
        <row r="2540">
          <cell r="B2540">
            <v>4226</v>
          </cell>
          <cell r="C2540" t="str">
            <v>VAR.TO. S.A.S. DI  VAROTTI LORENZO &amp; C.</v>
          </cell>
          <cell r="D2540" t="str">
            <v>03870840968 03870840968</v>
          </cell>
          <cell r="E2540" t="str">
            <v>VIA NAZARIO SAURO,  29</v>
          </cell>
          <cell r="F2540">
            <v>20099</v>
          </cell>
          <cell r="G2540" t="str">
            <v>SESTO SAN  GIOVANNI</v>
          </cell>
          <cell r="H2540" t="str">
            <v>MI</v>
          </cell>
          <cell r="I2540" t="str">
            <v>ITALIA</v>
          </cell>
          <cell r="J2540" t="str">
            <v>02-344766</v>
          </cell>
        </row>
        <row r="2541">
          <cell r="B2541">
            <v>4889</v>
          </cell>
          <cell r="C2541" t="str">
            <v>VARRONE AVEC NADIA S.N.C.</v>
          </cell>
          <cell r="D2541" t="str">
            <v>11541050016 11541050016</v>
          </cell>
          <cell r="E2541" t="str">
            <v>VIA BERTOLA, 11</v>
          </cell>
          <cell r="F2541">
            <v>10121</v>
          </cell>
          <cell r="G2541" t="str">
            <v>TORINO</v>
          </cell>
          <cell r="H2541" t="str">
            <v>TO</v>
          </cell>
          <cell r="I2541" t="str">
            <v>ITALIA</v>
          </cell>
          <cell r="J2541" t="str">
            <v xml:space="preserve">011-2645623 </v>
          </cell>
        </row>
        <row r="2542">
          <cell r="B2542">
            <v>5786</v>
          </cell>
          <cell r="C2542" t="str">
            <v>VASAPOLLO  VINCENZO &amp; C. S.A. S.</v>
          </cell>
          <cell r="D2542" t="str">
            <v>06257350014 06257350014</v>
          </cell>
          <cell r="E2542" t="str">
            <v>VIA DANEO, 11</v>
          </cell>
          <cell r="F2542">
            <v>10060</v>
          </cell>
          <cell r="G2542" t="str">
            <v>BRICHERASIO</v>
          </cell>
          <cell r="H2542" t="str">
            <v>TO</v>
          </cell>
          <cell r="I2542" t="str">
            <v>ITALIA</v>
          </cell>
          <cell r="J2542" t="str">
            <v>347-4048965</v>
          </cell>
        </row>
        <row r="2543">
          <cell r="B2543">
            <v>5608</v>
          </cell>
          <cell r="C2543" t="str">
            <v>VASCO DE GAMA S. A.S. DI LO CONTE  WILLIAM &amp; C.</v>
          </cell>
          <cell r="D2543" t="str">
            <v>06398690013 06398690013</v>
          </cell>
          <cell r="E2543" t="str">
            <v>VIA MONTECASSINO, 6</v>
          </cell>
          <cell r="F2543">
            <v>10097</v>
          </cell>
          <cell r="G2543" t="str">
            <v>COLLEGNO</v>
          </cell>
          <cell r="H2543" t="str">
            <v>TO</v>
          </cell>
          <cell r="I2543" t="str">
            <v>ITALIA</v>
          </cell>
          <cell r="J2543" t="str">
            <v xml:space="preserve">011-4111666 </v>
          </cell>
        </row>
        <row r="2544">
          <cell r="B2544">
            <v>4778</v>
          </cell>
          <cell r="C2544" t="str">
            <v>VD S.A.S. DI  DANILO VACCARI &amp;  C.</v>
          </cell>
          <cell r="D2544" t="str">
            <v>06540530018 06540530018</v>
          </cell>
          <cell r="E2544" t="str">
            <v>VIA TORINO, 79</v>
          </cell>
          <cell r="F2544">
            <v>10040</v>
          </cell>
          <cell r="G2544" t="str">
            <v>DRUENTO</v>
          </cell>
          <cell r="H2544" t="str">
            <v>TO</v>
          </cell>
          <cell r="I2544" t="str">
            <v>ITALIA</v>
          </cell>
          <cell r="J2544" t="str">
            <v>011- 4242133</v>
          </cell>
        </row>
        <row r="2545">
          <cell r="B2545">
            <v>2671</v>
          </cell>
          <cell r="C2545" t="str">
            <v>VE.CA.L.  DI  LUCCHITTO PAOLO</v>
          </cell>
          <cell r="D2545" t="str">
            <v>09350190014 LCCPLA77L04L219B</v>
          </cell>
          <cell r="E2545" t="str">
            <v>VIA BARTOLI, 4</v>
          </cell>
          <cell r="F2545">
            <v>10100</v>
          </cell>
          <cell r="G2545" t="str">
            <v>TORINO</v>
          </cell>
          <cell r="H2545" t="str">
            <v>TO</v>
          </cell>
          <cell r="I2545" t="str">
            <v>ITALIA</v>
          </cell>
          <cell r="J2545" t="str">
            <v xml:space="preserve">011-6191845 </v>
          </cell>
        </row>
        <row r="2546">
          <cell r="B2546">
            <v>10231</v>
          </cell>
          <cell r="C2546" t="str">
            <v>VELCOMAT S.A.S DI VELLAR FRANCESCO &amp; C.</v>
          </cell>
          <cell r="E2546" t="str">
            <v>VIA XIX MAGGIO, 39</v>
          </cell>
          <cell r="F2546">
            <v>36010</v>
          </cell>
          <cell r="G2546" t="str">
            <v>ROANA</v>
          </cell>
          <cell r="H2546" t="str">
            <v>VI</v>
          </cell>
          <cell r="I2546" t="str">
            <v>ITALIA</v>
          </cell>
        </row>
        <row r="2547">
          <cell r="B2547">
            <v>1686</v>
          </cell>
          <cell r="C2547" t="str">
            <v>VENDING  SOLUTIONS S.R.L.</v>
          </cell>
          <cell r="D2547" t="str">
            <v>01922200066</v>
          </cell>
          <cell r="E2547" t="str">
            <v>VIA BONARDI, 12</v>
          </cell>
          <cell r="F2547">
            <v>15100</v>
          </cell>
          <cell r="G2547" t="str">
            <v>ALESSANDRIA</v>
          </cell>
          <cell r="H2547" t="str">
            <v>AL</v>
          </cell>
          <cell r="I2547" t="str">
            <v>ITALIA</v>
          </cell>
          <cell r="J2547" t="str">
            <v>011-9785697</v>
          </cell>
        </row>
        <row r="2548">
          <cell r="B2548">
            <v>6536</v>
          </cell>
          <cell r="C2548" t="str">
            <v>VENDING 2000 S.R.L.</v>
          </cell>
          <cell r="D2548" t="str">
            <v>01222110197</v>
          </cell>
          <cell r="E2548" t="str">
            <v>VIA MICHELOZZO DA  FORLI', 8</v>
          </cell>
          <cell r="F2548">
            <v>20096</v>
          </cell>
          <cell r="G2548" t="str">
            <v>PIOLTELLO</v>
          </cell>
          <cell r="H2548" t="str">
            <v>MI</v>
          </cell>
          <cell r="I2548" t="str">
            <v>ITALIA</v>
          </cell>
          <cell r="J2548" t="str">
            <v>348-8402233</v>
          </cell>
        </row>
        <row r="2549">
          <cell r="B2549">
            <v>2946</v>
          </cell>
          <cell r="C2549" t="str">
            <v>VENDING FIVE S. A.S. DI DANIELE GOBBI  E C.</v>
          </cell>
          <cell r="D2549" t="str">
            <v>01448410082 01448410082</v>
          </cell>
          <cell r="E2549" t="str">
            <v>VIA DIANO CALDERINA,  134</v>
          </cell>
          <cell r="F2549">
            <v>18100</v>
          </cell>
          <cell r="G2549" t="str">
            <v>IMPERIA</v>
          </cell>
          <cell r="H2549" t="str">
            <v>IM</v>
          </cell>
          <cell r="I2549" t="str">
            <v>ITALIA</v>
          </cell>
          <cell r="J2549" t="str">
            <v xml:space="preserve">347-6743945 </v>
          </cell>
        </row>
        <row r="2550">
          <cell r="B2550">
            <v>6506</v>
          </cell>
          <cell r="C2550" t="str">
            <v>VENDING GEORGIA</v>
          </cell>
          <cell r="D2550" t="str">
            <v>204573167</v>
          </cell>
          <cell r="E2550" t="str">
            <v>29, CATHOLICOS  ABRAHAM I STR.</v>
          </cell>
          <cell r="F2550">
            <v>178</v>
          </cell>
          <cell r="G2550" t="str">
            <v>TBILISI</v>
          </cell>
          <cell r="I2550" t="str">
            <v>GEORGIA</v>
          </cell>
          <cell r="J2550"/>
        </row>
        <row r="2551">
          <cell r="B2551">
            <v>4870</v>
          </cell>
          <cell r="C2551" t="str">
            <v>VENDING POINT DI  GRECO G &amp; C S.N.C.</v>
          </cell>
          <cell r="D2551" t="str">
            <v>02235620180 02235620180</v>
          </cell>
          <cell r="E2551" t="str">
            <v>VIA DELLE MARGHERITE, 5</v>
          </cell>
          <cell r="F2551">
            <v>27016</v>
          </cell>
          <cell r="G2551" t="str">
            <v>SANT'ALESSIO  CON VIALONE</v>
          </cell>
          <cell r="H2551" t="str">
            <v>PV</v>
          </cell>
          <cell r="I2551" t="str">
            <v>ITALIA</v>
          </cell>
          <cell r="J2551" t="str">
            <v>0382-954688</v>
          </cell>
        </row>
        <row r="2552">
          <cell r="B2552">
            <v>3640</v>
          </cell>
          <cell r="C2552" t="str">
            <v>VENDING POINT DI  TUDOR MIHAELA</v>
          </cell>
          <cell r="D2552" t="str">
            <v>10031690018 TDRMHL75C41Z129 O</v>
          </cell>
          <cell r="E2552" t="str">
            <v>L.GO BORGARO 29/C</v>
          </cell>
          <cell r="F2552">
            <v>10149</v>
          </cell>
          <cell r="G2552" t="str">
            <v>TORINO</v>
          </cell>
          <cell r="H2552" t="str">
            <v>TO</v>
          </cell>
          <cell r="I2552" t="str">
            <v>ITALIA</v>
          </cell>
          <cell r="J2552" t="str">
            <v>327-2848089</v>
          </cell>
        </row>
        <row r="2553">
          <cell r="B2553">
            <v>3066</v>
          </cell>
          <cell r="C2553" t="str">
            <v>VENDING SHOP DI  MARICONDA  STEFANO</v>
          </cell>
          <cell r="D2553" t="str">
            <v>06023800961 MRCSFN76T27F205 H</v>
          </cell>
          <cell r="E2553" t="str">
            <v>VIA PAPA GIOVANNI  XXIII, 21</v>
          </cell>
          <cell r="F2553">
            <v>20093</v>
          </cell>
          <cell r="G2553" t="str">
            <v>COLOGNO  MONZESE</v>
          </cell>
          <cell r="H2553" t="str">
            <v>MI</v>
          </cell>
          <cell r="I2553" t="str">
            <v>ITALIA</v>
          </cell>
          <cell r="J2553" t="str">
            <v>335-5874241</v>
          </cell>
        </row>
        <row r="2554">
          <cell r="B2554">
            <v>3382</v>
          </cell>
          <cell r="C2554" t="str">
            <v>VENDING TIME  DI MASSIMO MUO'</v>
          </cell>
          <cell r="D2554" t="str">
            <v>09968020017 MUOMSM79A29C66 5P</v>
          </cell>
          <cell r="E2554" t="str">
            <v>VIA TORINO, 136</v>
          </cell>
          <cell r="F2554">
            <v>10088</v>
          </cell>
          <cell r="G2554" t="str">
            <v>VOLPIANO</v>
          </cell>
          <cell r="H2554" t="str">
            <v>TO</v>
          </cell>
          <cell r="I2554" t="str">
            <v>ITALIA</v>
          </cell>
          <cell r="J2554" t="str">
            <v xml:space="preserve">011-9954848 </v>
          </cell>
        </row>
        <row r="2555">
          <cell r="B2555">
            <v>6445</v>
          </cell>
          <cell r="C2555" t="str">
            <v>VENDING TIME S.R.L.</v>
          </cell>
          <cell r="D2555" t="str">
            <v>11696430013 11696430013</v>
          </cell>
          <cell r="E2555" t="str">
            <v>VIA TORINO, 136</v>
          </cell>
          <cell r="F2555">
            <v>10088</v>
          </cell>
          <cell r="G2555" t="str">
            <v>VOLPIANO</v>
          </cell>
          <cell r="H2555" t="str">
            <v>TO</v>
          </cell>
          <cell r="I2555" t="str">
            <v>ITALIA</v>
          </cell>
          <cell r="J2555" t="str">
            <v xml:space="preserve">011-9954848 </v>
          </cell>
        </row>
        <row r="2556">
          <cell r="B2556">
            <v>4098</v>
          </cell>
          <cell r="C2556" t="str">
            <v>VENDINGWORLD  HUNGARY KFT</v>
          </cell>
          <cell r="D2556" t="str">
            <v>12413117</v>
          </cell>
          <cell r="E2556" t="str">
            <v>TORTELI UT, 30</v>
          </cell>
          <cell r="F2556">
            <v>2700</v>
          </cell>
          <cell r="G2556" t="str">
            <v>CEGLED -  HUNGARY -</v>
          </cell>
          <cell r="I2556" t="str">
            <v>UNGHERIA</v>
          </cell>
          <cell r="J2556" t="str">
            <v>0036-203494026</v>
          </cell>
        </row>
        <row r="2557">
          <cell r="B2557">
            <v>7376</v>
          </cell>
          <cell r="C2557" t="str">
            <v>VENDRA SALVATORE</v>
          </cell>
          <cell r="D2557" t="str">
            <v>VNDSVT85H06B429 K</v>
          </cell>
          <cell r="E2557" t="str">
            <v>PIAZZA ANTONIO GREPPI  3/A</v>
          </cell>
          <cell r="F2557">
            <v>20060</v>
          </cell>
          <cell r="G2557" t="str">
            <v>BUSSERO</v>
          </cell>
          <cell r="H2557" t="str">
            <v>MI</v>
          </cell>
          <cell r="I2557" t="str">
            <v>ITALIA</v>
          </cell>
          <cell r="J2557" t="str">
            <v>377-2123940</v>
          </cell>
        </row>
        <row r="2558">
          <cell r="B2558">
            <v>4523</v>
          </cell>
          <cell r="C2558" t="str">
            <v>VERBANO CARTE  SRL</v>
          </cell>
          <cell r="D2558" t="str">
            <v>01566850127 01566850127</v>
          </cell>
          <cell r="E2558" t="str">
            <v>VIA CITTIGLIO 51</v>
          </cell>
          <cell r="F2558">
            <v>21014</v>
          </cell>
          <cell r="G2558" t="str">
            <v>LAVENO   MOMBELLO</v>
          </cell>
          <cell r="H2558" t="str">
            <v>VA</v>
          </cell>
          <cell r="I2558" t="str">
            <v>ITALIA</v>
          </cell>
          <cell r="J2558" t="str">
            <v>0332-601296</v>
          </cell>
        </row>
        <row r="2559">
          <cell r="B2559">
            <v>7154</v>
          </cell>
          <cell r="C2559" t="str">
            <v>VERGANI LAURA</v>
          </cell>
          <cell r="D2559" t="str">
            <v>VRGLRA58M58D872 C</v>
          </cell>
          <cell r="E2559" t="str">
            <v>VIA BAGNALERA, 35</v>
          </cell>
          <cell r="F2559">
            <v>28011</v>
          </cell>
          <cell r="G2559" t="str">
            <v>ARMENO</v>
          </cell>
          <cell r="H2559" t="str">
            <v>NO</v>
          </cell>
          <cell r="I2559" t="str">
            <v>ITALIA</v>
          </cell>
          <cell r="J2559" t="str">
            <v>340-4604776</v>
          </cell>
        </row>
        <row r="2560">
          <cell r="B2560">
            <v>9817</v>
          </cell>
          <cell r="C2560" t="str">
            <v>VEROCAFFE (ROZZANO)</v>
          </cell>
          <cell r="E2560" t="str">
            <v>VIA MONVISO, 109</v>
          </cell>
          <cell r="F2560">
            <v>20089</v>
          </cell>
          <cell r="G2560" t="str">
            <v>ROZZANO</v>
          </cell>
          <cell r="H2560" t="str">
            <v>MI</v>
          </cell>
          <cell r="I2560" t="str">
            <v>ITALIA</v>
          </cell>
          <cell r="J2560" t="str">
            <v>339-1128232</v>
          </cell>
        </row>
        <row r="2561">
          <cell r="B2561">
            <v>9821</v>
          </cell>
          <cell r="C2561" t="str">
            <v>VEROCAFFE (ROMAGNANO S.)</v>
          </cell>
          <cell r="E2561" t="str">
            <v>VIA NOVARA, 374</v>
          </cell>
          <cell r="F2561">
            <v>28078</v>
          </cell>
          <cell r="G2561" t="str">
            <v>ROMAGNANO SESIA</v>
          </cell>
          <cell r="H2561" t="str">
            <v>NO</v>
          </cell>
          <cell r="I2561" t="str">
            <v>ITALIA</v>
          </cell>
          <cell r="J2561" t="str">
            <v>339-1128232</v>
          </cell>
        </row>
        <row r="2562">
          <cell r="B2562">
            <v>9820</v>
          </cell>
          <cell r="C2562" t="str">
            <v>VEROCAFFE (CASTELLETTO S.T.)</v>
          </cell>
          <cell r="E2562" t="str">
            <v>STRADA STATALE DEL SEMPIONE, 116</v>
          </cell>
          <cell r="F2562">
            <v>28053</v>
          </cell>
          <cell r="G2562" t="str">
            <v>CASTELLETTO SOPRA TICINO</v>
          </cell>
          <cell r="H2562" t="str">
            <v>NO</v>
          </cell>
          <cell r="I2562" t="str">
            <v>ITALIA</v>
          </cell>
          <cell r="J2562" t="str">
            <v>339-1128232</v>
          </cell>
        </row>
        <row r="2563">
          <cell r="B2563">
            <v>9018</v>
          </cell>
          <cell r="C2563" t="str">
            <v>VEROCAFFE' (OLEGGIO)</v>
          </cell>
          <cell r="E2563" t="str">
            <v>VIA VERBANO, 16</v>
          </cell>
          <cell r="F2563">
            <v>28047</v>
          </cell>
          <cell r="G2563" t="str">
            <v>OLEGGIO</v>
          </cell>
          <cell r="H2563" t="str">
            <v>NO</v>
          </cell>
          <cell r="I2563" t="str">
            <v>ITALIA</v>
          </cell>
          <cell r="J2563" t="str">
            <v>339-1128232</v>
          </cell>
        </row>
        <row r="2564">
          <cell r="B2564">
            <v>7451</v>
          </cell>
          <cell r="C2564" t="str">
            <v>VESCO ROSALIA</v>
          </cell>
          <cell r="D2564" t="str">
            <v>06075501004</v>
          </cell>
          <cell r="E2564" t="str">
            <v>VIA GINO COPPEDE' 22</v>
          </cell>
          <cell r="F2564">
            <v>163</v>
          </cell>
          <cell r="G2564" t="str">
            <v>ROMA</v>
          </cell>
          <cell r="H2564" t="str">
            <v>RM</v>
          </cell>
          <cell r="I2564" t="str">
            <v>ITALIA</v>
          </cell>
          <cell r="J2564" t="str">
            <v>348-2821620</v>
          </cell>
        </row>
        <row r="2565">
          <cell r="B2565">
            <v>6110</v>
          </cell>
          <cell r="C2565" t="str">
            <v>VI.DA.MATIK S.A.S.  DI PAGLIERO  VINCENZO &amp; C.</v>
          </cell>
          <cell r="D2565" t="str">
            <v>08918720015 08918720015</v>
          </cell>
          <cell r="E2565" t="str">
            <v>VIA DELLA REPUBBLICA, 9</v>
          </cell>
          <cell r="F2565">
            <v>10036</v>
          </cell>
          <cell r="G2565" t="str">
            <v>SETTIMO  TORINESE</v>
          </cell>
          <cell r="H2565" t="str">
            <v>TO</v>
          </cell>
          <cell r="I2565" t="str">
            <v>ITALIA</v>
          </cell>
          <cell r="J2565" t="str">
            <v>011-8012294</v>
          </cell>
        </row>
        <row r="2566">
          <cell r="B2566">
            <v>4569</v>
          </cell>
          <cell r="C2566" t="str">
            <v>VI.MAR. C@FFE' DI  VITTORIO  GIANFRANCO  CERAMI</v>
          </cell>
          <cell r="D2566" t="str">
            <v>02267750970 CRMVTR56D28G999 O</v>
          </cell>
          <cell r="E2566" t="str">
            <v>VIA VIACCIA DI NARNALI, 71</v>
          </cell>
          <cell r="F2566">
            <v>59100</v>
          </cell>
          <cell r="G2566" t="str">
            <v>PRATO</v>
          </cell>
          <cell r="H2566" t="str">
            <v>PO</v>
          </cell>
          <cell r="I2566" t="str">
            <v>ITALIA</v>
          </cell>
          <cell r="J2566" t="str">
            <v>393-9261011</v>
          </cell>
        </row>
        <row r="2567">
          <cell r="B2567">
            <v>7538</v>
          </cell>
          <cell r="C2567" t="str">
            <v>VICK MARIAMONICA</v>
          </cell>
          <cell r="D2567" t="str">
            <v>VCKMMN64R44A657 E</v>
          </cell>
          <cell r="E2567" t="str">
            <v>VIALE CESARE BATTISTI,  21</v>
          </cell>
          <cell r="F2567">
            <v>55051</v>
          </cell>
          <cell r="G2567" t="str">
            <v>BARGA</v>
          </cell>
          <cell r="H2567" t="str">
            <v>LU</v>
          </cell>
          <cell r="I2567" t="str">
            <v>ITALIA</v>
          </cell>
          <cell r="J2567" t="str">
            <v>349-3719832</v>
          </cell>
        </row>
        <row r="2568">
          <cell r="B2568">
            <v>2875</v>
          </cell>
          <cell r="C2568" t="str">
            <v>VICTOR MOKA S.A.S.</v>
          </cell>
          <cell r="D2568" t="str">
            <v>00928120963 08843470157</v>
          </cell>
          <cell r="E2568" t="str">
            <v>LARGO BRUGHETTI  INT.  1/A</v>
          </cell>
          <cell r="F2568">
            <v>20030</v>
          </cell>
          <cell r="G2568" t="str">
            <v>BOVISIO  MASCIAGO</v>
          </cell>
          <cell r="H2568" t="str">
            <v>MI</v>
          </cell>
          <cell r="I2568" t="str">
            <v>ITALIA</v>
          </cell>
          <cell r="J2568" t="str">
            <v>0362-558355</v>
          </cell>
        </row>
        <row r="2569">
          <cell r="B2569">
            <v>5543</v>
          </cell>
          <cell r="C2569" t="str">
            <v>VIDEO BANK DI  CORTI ENRICO</v>
          </cell>
          <cell r="D2569" t="str">
            <v>01232430999 CRTNRC57S05I225 C</v>
          </cell>
          <cell r="E2569" t="str">
            <v>CORSO BUENOS AIRES,  58</v>
          </cell>
          <cell r="F2569">
            <v>16033</v>
          </cell>
          <cell r="G2569" t="str">
            <v>LAVAGNA</v>
          </cell>
          <cell r="H2569" t="str">
            <v>GE</v>
          </cell>
          <cell r="I2569" t="str">
            <v>ITALIA</v>
          </cell>
          <cell r="J2569" t="str">
            <v>328-1321002</v>
          </cell>
        </row>
        <row r="2570">
          <cell r="B2570">
            <v>4612</v>
          </cell>
          <cell r="C2570" t="str">
            <v>VIDEO POINT DI  CIARDI MAURIZIO</v>
          </cell>
          <cell r="D2570" t="str">
            <v>03505770101 CRDMRZ69P12D969 C</v>
          </cell>
          <cell r="E2570" t="str">
            <v>VIA PAPIGLIANO,  4/4A/4B/R</v>
          </cell>
          <cell r="F2570">
            <v>16131</v>
          </cell>
          <cell r="G2570" t="str">
            <v>GENOVA</v>
          </cell>
          <cell r="H2570" t="str">
            <v>GE</v>
          </cell>
          <cell r="I2570" t="str">
            <v>ITALIA</v>
          </cell>
          <cell r="J2570" t="str">
            <v>010-503690</v>
          </cell>
        </row>
        <row r="2571">
          <cell r="B2571">
            <v>4092</v>
          </cell>
          <cell r="C2571" t="str">
            <v>VIDEO WORLD DI  BIGLINO CARMEN</v>
          </cell>
          <cell r="D2571" t="str">
            <v>08280460018 BGLCMN63P63L219 L</v>
          </cell>
          <cell r="E2571" t="str">
            <v>VIA BEVILACQUA, 1</v>
          </cell>
          <cell r="F2571">
            <v>10141</v>
          </cell>
          <cell r="G2571" t="str">
            <v>TORINO</v>
          </cell>
          <cell r="H2571" t="str">
            <v>TO</v>
          </cell>
          <cell r="I2571" t="str">
            <v>ITALIA</v>
          </cell>
          <cell r="J2571" t="str">
            <v>011-796184</v>
          </cell>
        </row>
        <row r="2572">
          <cell r="B2572">
            <v>3720</v>
          </cell>
          <cell r="C2572" t="str">
            <v>VIDEOGIOCHI S.R.L.</v>
          </cell>
          <cell r="D2572" t="str">
            <v>02963880139 02963880139</v>
          </cell>
          <cell r="E2572" t="str">
            <v>VIA CA' ROTA, 37</v>
          </cell>
          <cell r="F2572">
            <v>22030</v>
          </cell>
          <cell r="G2572" t="str">
            <v>LIPOMO</v>
          </cell>
          <cell r="H2572" t="str">
            <v>CO</v>
          </cell>
          <cell r="I2572" t="str">
            <v>ITALIA</v>
          </cell>
          <cell r="J2572" t="str">
            <v>031-283124</v>
          </cell>
        </row>
        <row r="2573">
          <cell r="B2573">
            <v>4967</v>
          </cell>
          <cell r="C2573" t="str">
            <v>VIDEOSHOP DI  CORTESE MARCO</v>
          </cell>
          <cell r="D2573" t="str">
            <v>11627050013 CRTMRC77T30L219 I</v>
          </cell>
          <cell r="E2573" t="str">
            <v>VIA LEONCAVALLO, 1/B</v>
          </cell>
          <cell r="F2573">
            <v>10100</v>
          </cell>
          <cell r="G2573" t="str">
            <v>TORINO</v>
          </cell>
          <cell r="H2573" t="str">
            <v>TO</v>
          </cell>
          <cell r="I2573" t="str">
            <v>ITALIA</v>
          </cell>
          <cell r="J2573" t="str">
            <v>347-0744469</v>
          </cell>
        </row>
        <row r="2574">
          <cell r="B2574">
            <v>4913</v>
          </cell>
          <cell r="C2574" t="str">
            <v>VIDEOSHOP DI  VACCHETTA  MAURIZIO</v>
          </cell>
          <cell r="D2574" t="str">
            <v>08724470011 VCCMRZ65T16L219 U</v>
          </cell>
          <cell r="E2574" t="str">
            <v>CORSO REGIO PARCO,  169/C</v>
          </cell>
          <cell r="F2574">
            <v>10154</v>
          </cell>
          <cell r="G2574" t="str">
            <v>TORINO</v>
          </cell>
          <cell r="H2574" t="str">
            <v>TO</v>
          </cell>
          <cell r="I2574" t="str">
            <v>ITALIA</v>
          </cell>
          <cell r="J2574" t="str">
            <v>011-2053944</v>
          </cell>
        </row>
        <row r="2575">
          <cell r="B2575">
            <v>4900</v>
          </cell>
          <cell r="C2575" t="str">
            <v>VIERO LIVIO</v>
          </cell>
          <cell r="D2575" t="str">
            <v>07371710018 VRILVI60A31L219C</v>
          </cell>
          <cell r="E2575" t="str">
            <v>VIA CARBONERA, 23</v>
          </cell>
          <cell r="F2575">
            <v>10010</v>
          </cell>
          <cell r="G2575" t="str">
            <v>ORIO CANAVESE</v>
          </cell>
          <cell r="H2575" t="str">
            <v>TO</v>
          </cell>
          <cell r="I2575" t="str">
            <v>ITALIA</v>
          </cell>
          <cell r="J2575" t="str">
            <v>348-3701120</v>
          </cell>
        </row>
        <row r="2576">
          <cell r="B2576">
            <v>4162</v>
          </cell>
          <cell r="C2576" t="str">
            <v>VIGO NATALE</v>
          </cell>
          <cell r="D2576" t="str">
            <v>10724810014 VGINLP54P03D008N</v>
          </cell>
          <cell r="E2576" t="str">
            <v>VIA CASE PIOLA, 1</v>
          </cell>
          <cell r="F2576">
            <v>10070</v>
          </cell>
          <cell r="G2576" t="str">
            <v>CORIO</v>
          </cell>
          <cell r="H2576" t="str">
            <v>TO</v>
          </cell>
          <cell r="I2576" t="str">
            <v>ITALIA</v>
          </cell>
          <cell r="J2576" t="str">
            <v xml:space="preserve">011-9224887 </v>
          </cell>
        </row>
        <row r="2577">
          <cell r="B2577">
            <v>7478</v>
          </cell>
          <cell r="C2577" t="str">
            <v>VILLA CABRERA  KAARLA ESTHER</v>
          </cell>
          <cell r="D2577" t="str">
            <v>VLLKLS86E51Z614Q</v>
          </cell>
          <cell r="E2577" t="str">
            <v>VIA VANINI 11/12</v>
          </cell>
          <cell r="F2577">
            <v>17100</v>
          </cell>
          <cell r="G2577" t="str">
            <v>SAVONA</v>
          </cell>
          <cell r="H2577" t="str">
            <v>SV</v>
          </cell>
          <cell r="I2577" t="str">
            <v>ITALIA</v>
          </cell>
          <cell r="J2577" t="str">
            <v>346-6472909</v>
          </cell>
        </row>
        <row r="2578">
          <cell r="B2578">
            <v>7423</v>
          </cell>
          <cell r="C2578" t="str">
            <v>VINCINI GIOVANNI</v>
          </cell>
          <cell r="D2578" t="str">
            <v>VNCGNN55D06D93 3L</v>
          </cell>
          <cell r="E2578" t="str">
            <v>VIA BELLARDI 21 BIS</v>
          </cell>
          <cell r="F2578">
            <v>10146</v>
          </cell>
          <cell r="G2578" t="str">
            <v>TORINO</v>
          </cell>
          <cell r="H2578" t="str">
            <v>TO</v>
          </cell>
          <cell r="I2578" t="str">
            <v>ITALIA</v>
          </cell>
          <cell r="J2578" t="str">
            <v>334-3329762</v>
          </cell>
        </row>
        <row r="2579">
          <cell r="B2579">
            <v>7083</v>
          </cell>
          <cell r="C2579" t="str">
            <v>VINI DIMO DI  MARCELLINO  MAURIZIO</v>
          </cell>
          <cell r="D2579" t="str">
            <v>03081460960 DMIMCL61C31G103 Z</v>
          </cell>
          <cell r="E2579" t="str">
            <v>VIA G. CARDUCCI, 4</v>
          </cell>
          <cell r="F2579">
            <v>20816</v>
          </cell>
          <cell r="G2579" t="str">
            <v>CERIANO  LAGHETTO</v>
          </cell>
          <cell r="H2579" t="str">
            <v>MB</v>
          </cell>
          <cell r="I2579" t="str">
            <v>ITALIA</v>
          </cell>
          <cell r="J2579" t="str">
            <v>347-5439513</v>
          </cell>
        </row>
        <row r="2580">
          <cell r="B2580">
            <v>6752</v>
          </cell>
          <cell r="C2580" t="str">
            <v>VIRCOL S.R.L.</v>
          </cell>
          <cell r="D2580" t="str">
            <v>09657950961 09657950961</v>
          </cell>
          <cell r="E2580" t="str">
            <v>VIA ONEDA, 21</v>
          </cell>
          <cell r="F2580">
            <v>21018</v>
          </cell>
          <cell r="G2580" t="str">
            <v>SESTO CALENDE</v>
          </cell>
          <cell r="H2580" t="str">
            <v>VA</v>
          </cell>
          <cell r="I2580" t="str">
            <v>ITALIA</v>
          </cell>
          <cell r="J2580" t="str">
            <v>0331-924378</v>
          </cell>
        </row>
        <row r="2581">
          <cell r="B2581">
            <v>6886</v>
          </cell>
          <cell r="C2581" t="str">
            <v>VIRCOL S.R.L.</v>
          </cell>
          <cell r="D2581" t="str">
            <v>00314470121 00314470121</v>
          </cell>
          <cell r="E2581" t="str">
            <v>VIA ONEDA, 21</v>
          </cell>
          <cell r="F2581">
            <v>21018</v>
          </cell>
          <cell r="G2581" t="str">
            <v>SESTO CALENDE</v>
          </cell>
          <cell r="H2581" t="str">
            <v>VA</v>
          </cell>
          <cell r="I2581" t="str">
            <v>ITALIA</v>
          </cell>
          <cell r="J2581" t="str">
            <v>0331-924378</v>
          </cell>
        </row>
        <row r="2582">
          <cell r="B2582">
            <v>7176</v>
          </cell>
          <cell r="C2582" t="str">
            <v>VIRGENTI ANDREA</v>
          </cell>
          <cell r="D2582" t="str">
            <v>VRGNDR64P27G337 X</v>
          </cell>
          <cell r="E2582" t="str">
            <v>VIA EMILIA EST 125</v>
          </cell>
          <cell r="F2582">
            <v>43123</v>
          </cell>
          <cell r="G2582" t="str">
            <v>PARMA</v>
          </cell>
          <cell r="H2582" t="str">
            <v>PR</v>
          </cell>
          <cell r="I2582" t="str">
            <v>ITALIA</v>
          </cell>
          <cell r="J2582" t="str">
            <v>338-9151327</v>
          </cell>
        </row>
        <row r="2583">
          <cell r="B2583">
            <v>7415</v>
          </cell>
          <cell r="C2583" t="str">
            <v>VISCONTI &amp;   MOLTENI SRL</v>
          </cell>
          <cell r="D2583" t="str">
            <v>02861060131</v>
          </cell>
          <cell r="E2583" t="str">
            <v>VIA VIRGILIO 49</v>
          </cell>
          <cell r="F2583">
            <v>22063</v>
          </cell>
          <cell r="G2583" t="str">
            <v>CANTU'</v>
          </cell>
          <cell r="H2583" t="str">
            <v>CO</v>
          </cell>
          <cell r="I2583" t="str">
            <v>ITALIA</v>
          </cell>
          <cell r="J2583" t="str">
            <v>328-9593558</v>
          </cell>
        </row>
        <row r="2584">
          <cell r="B2584">
            <v>4922</v>
          </cell>
          <cell r="C2584" t="str">
            <v>VISENTINI NICOLA  DISTRIBUTORI  AUTOMATICI</v>
          </cell>
          <cell r="D2584" t="str">
            <v>01331050292 VSNNCL64T06A944 D</v>
          </cell>
          <cell r="E2584" t="str">
            <v>VIA GUIDO D'AREZZO, 9</v>
          </cell>
          <cell r="F2584">
            <v>45030</v>
          </cell>
          <cell r="G2584" t="str">
            <v>OCCHIOBELLO</v>
          </cell>
          <cell r="H2584" t="str">
            <v>RO</v>
          </cell>
          <cell r="I2584" t="str">
            <v>ITALIA</v>
          </cell>
          <cell r="J2584" t="str">
            <v>348-8700884</v>
          </cell>
        </row>
        <row r="2585">
          <cell r="B2585">
            <v>6769</v>
          </cell>
          <cell r="C2585" t="str">
            <v>VITTI VALENTINA</v>
          </cell>
          <cell r="D2585" t="str">
            <v>04049610985 VTTVNT83E64B157 Q</v>
          </cell>
          <cell r="E2585" t="str">
            <v>VIA ORZINUOVI, 103</v>
          </cell>
          <cell r="F2585">
            <v>25125</v>
          </cell>
          <cell r="G2585" t="str">
            <v>BRESCIA</v>
          </cell>
          <cell r="H2585" t="str">
            <v>BS</v>
          </cell>
          <cell r="I2585" t="str">
            <v>ITALIA</v>
          </cell>
          <cell r="J2585" t="str">
            <v>392-6883832</v>
          </cell>
        </row>
        <row r="2586">
          <cell r="B2586">
            <v>10203</v>
          </cell>
          <cell r="C2586" t="str">
            <v>VIZI E SFIZI VENDING</v>
          </cell>
          <cell r="E2586" t="str">
            <v>VIA DESMAN, 167</v>
          </cell>
          <cell r="F2586">
            <v>35010</v>
          </cell>
          <cell r="G2586" t="str">
            <v>BORGORICCO</v>
          </cell>
          <cell r="H2586" t="str">
            <v>PD</v>
          </cell>
          <cell r="I2586" t="str">
            <v>ITALIA</v>
          </cell>
          <cell r="J2586" t="str">
            <v>049-9335975</v>
          </cell>
        </row>
        <row r="2587">
          <cell r="B2587">
            <v>4033</v>
          </cell>
          <cell r="C2587" t="str">
            <v>VP STORE 24 SA</v>
          </cell>
          <cell r="D2587" t="str">
            <v>236165697</v>
          </cell>
          <cell r="E2587" t="str">
            <v>VIA E. PESTALOZZI, 2</v>
          </cell>
          <cell r="F2587">
            <v>6830</v>
          </cell>
          <cell r="G2587" t="str">
            <v>CHIASSO -  SVIZZERA -</v>
          </cell>
          <cell r="I2587" t="str">
            <v>SVIZZERA</v>
          </cell>
          <cell r="J2587">
            <v>4178612509</v>
          </cell>
        </row>
        <row r="2588">
          <cell r="B2588">
            <v>7132</v>
          </cell>
          <cell r="C2588" t="str">
            <v>VRENNA GIAMPIERO</v>
          </cell>
          <cell r="D2588" t="str">
            <v>VRNGPR75L27D122 Y</v>
          </cell>
          <cell r="E2588" t="str">
            <v>VIA MARCIANA 2</v>
          </cell>
          <cell r="F2588">
            <v>88900</v>
          </cell>
          <cell r="G2588" t="str">
            <v>CROTONE</v>
          </cell>
          <cell r="H2588" t="str">
            <v>KR</v>
          </cell>
          <cell r="I2588" t="str">
            <v>ITALIA</v>
          </cell>
          <cell r="J2588" t="str">
            <v>338-5239625</v>
          </cell>
        </row>
        <row r="2589">
          <cell r="B2589">
            <v>4193</v>
          </cell>
          <cell r="C2589" t="str">
            <v>VS GROUP S.R.L.</v>
          </cell>
          <cell r="D2589" t="str">
            <v>10042310010 10042310010</v>
          </cell>
          <cell r="E2589" t="str">
            <v>CORSO SUSA, 242</v>
          </cell>
          <cell r="F2589">
            <v>10098</v>
          </cell>
          <cell r="G2589" t="str">
            <v>RIVOLI</v>
          </cell>
          <cell r="H2589" t="str">
            <v>TO</v>
          </cell>
          <cell r="I2589" t="str">
            <v>ITALIA</v>
          </cell>
          <cell r="J2589" t="str">
            <v>011-9781397</v>
          </cell>
        </row>
        <row r="2590">
          <cell r="B2590">
            <v>7319</v>
          </cell>
          <cell r="C2590" t="str">
            <v>VUONO GIOVANNA</v>
          </cell>
          <cell r="D2590" t="str">
            <v>VNUGNN96A42D005 C</v>
          </cell>
          <cell r="E2590" t="str">
            <v>VICO II MARGHERITA 33</v>
          </cell>
          <cell r="F2590">
            <v>87064</v>
          </cell>
          <cell r="G2590" t="str">
            <v>CORIGLIANO  CALABRO</v>
          </cell>
          <cell r="H2590" t="str">
            <v>CS</v>
          </cell>
          <cell r="I2590" t="str">
            <v>ITALIA</v>
          </cell>
          <cell r="J2590" t="str">
            <v>329-4216124</v>
          </cell>
        </row>
        <row r="2591">
          <cell r="B2591">
            <v>3886</v>
          </cell>
          <cell r="C2591" t="str">
            <v>WALCOFFEE DI  WALTER TONIATTI</v>
          </cell>
          <cell r="D2591" t="str">
            <v>03163240124 TNTWTR71C29B049 L</v>
          </cell>
          <cell r="E2591" t="str">
            <v>VIA GALILEI, 3E</v>
          </cell>
          <cell r="F2591">
            <v>21040</v>
          </cell>
          <cell r="G2591" t="str">
            <v>JERAGO CON  ORAGO</v>
          </cell>
          <cell r="H2591" t="str">
            <v>VA</v>
          </cell>
          <cell r="I2591" t="str">
            <v>ITALIA</v>
          </cell>
          <cell r="J2591" t="str">
            <v>329-9452851</v>
          </cell>
        </row>
        <row r="2592">
          <cell r="B2592">
            <v>4482</v>
          </cell>
          <cell r="C2592" t="str">
            <v>WALLNET S.R.L.</v>
          </cell>
          <cell r="D2592" t="str">
            <v>02114110063 02114110063</v>
          </cell>
          <cell r="E2592" t="str">
            <v>VIA RICCARDO SINEO, 20</v>
          </cell>
          <cell r="F2592">
            <v>15045</v>
          </cell>
          <cell r="G2592" t="str">
            <v>SALE</v>
          </cell>
          <cell r="H2592" t="str">
            <v>AL</v>
          </cell>
          <cell r="I2592" t="str">
            <v>ITALIA</v>
          </cell>
          <cell r="J2592" t="str">
            <v>349-6401590</v>
          </cell>
        </row>
        <row r="2593">
          <cell r="B2593">
            <v>4713</v>
          </cell>
          <cell r="C2593" t="str">
            <v>WATER AND COFFEE  W&amp;C S.R.L.</v>
          </cell>
          <cell r="D2593" t="str">
            <v>01821340492 01821340492</v>
          </cell>
          <cell r="E2593" t="str">
            <v>VIA DEI CONDOTTI  VECCHI, 8/BIS INT. 7</v>
          </cell>
          <cell r="F2593">
            <v>57121</v>
          </cell>
          <cell r="G2593" t="str">
            <v>LIVORNO</v>
          </cell>
          <cell r="H2593" t="str">
            <v>LI</v>
          </cell>
          <cell r="I2593" t="str">
            <v>ITALIA</v>
          </cell>
          <cell r="J2593" t="str">
            <v>0586-429346</v>
          </cell>
        </row>
        <row r="2594">
          <cell r="B2594">
            <v>6649</v>
          </cell>
          <cell r="C2594" t="str">
            <v>WATER POINT SRL</v>
          </cell>
          <cell r="D2594" t="str">
            <v>05624100722 05624100722</v>
          </cell>
          <cell r="E2594" t="str">
            <v>VIA CORTILI FAVALE, 15</v>
          </cell>
          <cell r="F2594">
            <v>70038</v>
          </cell>
          <cell r="G2594" t="str">
            <v>TERLIZZI</v>
          </cell>
          <cell r="H2594" t="str">
            <v>BA</v>
          </cell>
          <cell r="I2594" t="str">
            <v>ITALIA</v>
          </cell>
          <cell r="J2594" t="str">
            <v>080-3382358</v>
          </cell>
        </row>
        <row r="2595">
          <cell r="B2595">
            <v>3512</v>
          </cell>
          <cell r="C2595" t="str">
            <v>WAY SHOP SERVICE S.A.S.</v>
          </cell>
          <cell r="D2595" t="str">
            <v>10054630016 10054630016</v>
          </cell>
          <cell r="E2595" t="str">
            <v>VIA PRINCIPE TOMMASO,  36</v>
          </cell>
          <cell r="F2595">
            <v>10125</v>
          </cell>
          <cell r="G2595" t="str">
            <v>TORINO</v>
          </cell>
          <cell r="H2595" t="str">
            <v>TO</v>
          </cell>
          <cell r="I2595" t="str">
            <v>ITALIA</v>
          </cell>
          <cell r="J2595" t="str">
            <v>011-4241757</v>
          </cell>
        </row>
        <row r="2596">
          <cell r="B2596">
            <v>4894</v>
          </cell>
          <cell r="C2596" t="str">
            <v>WELLPO GROUP S.R. L.</v>
          </cell>
          <cell r="D2596" t="str">
            <v>02409340995 02409340995</v>
          </cell>
          <cell r="E2596" t="str">
            <v>CORSO BUENOS AIRES,  7/17</v>
          </cell>
          <cell r="F2596">
            <v>16129</v>
          </cell>
          <cell r="G2596" t="str">
            <v>GENOVA</v>
          </cell>
          <cell r="H2596" t="str">
            <v>GE</v>
          </cell>
          <cell r="I2596" t="str">
            <v>ITALIA</v>
          </cell>
          <cell r="J2596" t="str">
            <v>010-8568051</v>
          </cell>
        </row>
        <row r="2597">
          <cell r="B2597">
            <v>4754</v>
          </cell>
          <cell r="C2597" t="str">
            <v>WHITE WATER W &amp;  W S.R.L.</v>
          </cell>
          <cell r="D2597" t="str">
            <v>01821150495 01821150495</v>
          </cell>
          <cell r="E2597" t="str">
            <v>VIA AURELIO LAMPREDI, 3</v>
          </cell>
          <cell r="F2597">
            <v>57121</v>
          </cell>
          <cell r="G2597" t="str">
            <v>LIVORNO</v>
          </cell>
          <cell r="H2597" t="str">
            <v>LI</v>
          </cell>
          <cell r="I2597" t="str">
            <v>ITALIA</v>
          </cell>
          <cell r="J2597" t="str">
            <v>0586-429346</v>
          </cell>
        </row>
        <row r="2598">
          <cell r="B2598">
            <v>4503</v>
          </cell>
          <cell r="C2598" t="str">
            <v>WORLD CAFE S. R.L.</v>
          </cell>
          <cell r="D2598" t="str">
            <v>08308870966 08308870966</v>
          </cell>
          <cell r="E2598" t="str">
            <v>VIA STATI UNITI D' AMERICA, 12/14</v>
          </cell>
          <cell r="F2598">
            <v>20030</v>
          </cell>
          <cell r="G2598" t="str">
            <v>SENAGO</v>
          </cell>
          <cell r="H2598" t="str">
            <v>MI</v>
          </cell>
          <cell r="I2598" t="str">
            <v>ITALIA</v>
          </cell>
          <cell r="J2598" t="str">
            <v xml:space="preserve">02-99010906 </v>
          </cell>
        </row>
        <row r="2599">
          <cell r="B2599">
            <v>6802</v>
          </cell>
          <cell r="C2599" t="str">
            <v>WORLD COMM SRL</v>
          </cell>
          <cell r="D2599" t="str">
            <v>11862920011</v>
          </cell>
          <cell r="E2599" t="str">
            <v>VIA CERVINO, 24/A</v>
          </cell>
          <cell r="F2599">
            <v>10155</v>
          </cell>
          <cell r="G2599" t="str">
            <v>TORINO</v>
          </cell>
          <cell r="H2599" t="str">
            <v>TO</v>
          </cell>
          <cell r="I2599" t="str">
            <v>ITALIA</v>
          </cell>
          <cell r="J2599" t="str">
            <v>011-2478355</v>
          </cell>
        </row>
        <row r="2600">
          <cell r="B2600">
            <v>4984</v>
          </cell>
          <cell r="C2600" t="str">
            <v>WORLD FOOD di  GUALTIERI  FRANCESCO</v>
          </cell>
          <cell r="D2600" t="str">
            <v>03436750792 GLTFNC89H26C352 C</v>
          </cell>
          <cell r="E2600" t="str">
            <v>VIA VERONA, 1/A</v>
          </cell>
          <cell r="F2600">
            <v>20063</v>
          </cell>
          <cell r="G2600" t="str">
            <v>CERNUSCO SUL  NAVIGLIO</v>
          </cell>
          <cell r="H2600" t="str">
            <v>MI</v>
          </cell>
          <cell r="I2600" t="str">
            <v>ITALIA</v>
          </cell>
          <cell r="J2600" t="str">
            <v>02-49469192</v>
          </cell>
        </row>
        <row r="2601">
          <cell r="B2601">
            <v>6937</v>
          </cell>
          <cell r="C2601" t="str">
            <v>YEOMAN S.N.C.</v>
          </cell>
          <cell r="D2601" t="str">
            <v>02669450807 02669450807</v>
          </cell>
          <cell r="E2601" t="str">
            <v>VIA DEL GELSOMINO 5C</v>
          </cell>
          <cell r="F2601">
            <v>89128</v>
          </cell>
          <cell r="G2601" t="str">
            <v>REGGIO  CALABRIA</v>
          </cell>
          <cell r="H2601" t="str">
            <v>RC</v>
          </cell>
          <cell r="I2601" t="str">
            <v>ITALIA</v>
          </cell>
          <cell r="J2601" t="str">
            <v>349-2520566</v>
          </cell>
        </row>
        <row r="2602">
          <cell r="B2602">
            <v>3335</v>
          </cell>
          <cell r="C2602" t="str">
            <v>Z.G. DI  ZIMBARDI  GRAZIANO</v>
          </cell>
          <cell r="D2602" t="str">
            <v>06297590967 ZMBGZN45T17A404 L</v>
          </cell>
          <cell r="E2602" t="str">
            <v>CORSO ROMA, 28</v>
          </cell>
          <cell r="F2602">
            <v>20031</v>
          </cell>
          <cell r="G2602" t="str">
            <v>CESANO  MADERNO</v>
          </cell>
          <cell r="H2602" t="str">
            <v>MI</v>
          </cell>
          <cell r="I2602" t="str">
            <v>ITALIA</v>
          </cell>
          <cell r="J2602" t="str">
            <v>333-4515280</v>
          </cell>
        </row>
        <row r="2603">
          <cell r="B2603">
            <v>3973</v>
          </cell>
          <cell r="C2603" t="str">
            <v>ZABARDI SERVICE  S.N.C.</v>
          </cell>
          <cell r="D2603" t="str">
            <v>08438640016 08438640016</v>
          </cell>
          <cell r="E2603" t="str">
            <v>VIA SAGRA DI S.MICHELE, 21/A</v>
          </cell>
          <cell r="F2603">
            <v>10139</v>
          </cell>
          <cell r="G2603" t="str">
            <v>TORINO</v>
          </cell>
          <cell r="H2603" t="str">
            <v>TO</v>
          </cell>
          <cell r="I2603" t="str">
            <v>ITALIA</v>
          </cell>
          <cell r="J2603" t="str">
            <v>011-4345703</v>
          </cell>
        </row>
        <row r="2604">
          <cell r="B2604">
            <v>7371</v>
          </cell>
          <cell r="C2604" t="str">
            <v>ZACCHEI SASHA</v>
          </cell>
          <cell r="D2604" t="str">
            <v>ZCCSSH96B52I726 Q</v>
          </cell>
          <cell r="E2604" t="str">
            <v>VIALE TOSCANA 15</v>
          </cell>
          <cell r="F2604">
            <v>53041</v>
          </cell>
          <cell r="G2604" t="str">
            <v>ASCIANO</v>
          </cell>
          <cell r="H2604" t="str">
            <v>SI</v>
          </cell>
          <cell r="I2604" t="str">
            <v>ITALIA</v>
          </cell>
          <cell r="J2604" t="str">
            <v>347-8345973</v>
          </cell>
        </row>
        <row r="2605">
          <cell r="B2605">
            <v>3816</v>
          </cell>
          <cell r="C2605" t="str">
            <v>ZADOROJNAIA ALA</v>
          </cell>
          <cell r="D2605" t="str">
            <v>06642080961 ZDRLAA69S69Z140 J</v>
          </cell>
          <cell r="E2605" t="str">
            <v>VIALE GUGLIELMO  MARCONI, 2</v>
          </cell>
          <cell r="F2605">
            <v>20900</v>
          </cell>
          <cell r="G2605" t="str">
            <v>MONZA</v>
          </cell>
          <cell r="H2605" t="str">
            <v>MB</v>
          </cell>
          <cell r="I2605" t="str">
            <v>ITALIA</v>
          </cell>
          <cell r="J2605" t="str">
            <v>340-8641313</v>
          </cell>
        </row>
        <row r="2606">
          <cell r="B2606">
            <v>2722</v>
          </cell>
          <cell r="C2606" t="str">
            <v>ZAMBIANCHI  GIUSEPPE</v>
          </cell>
          <cell r="D2606" t="str">
            <v>ZMBGPP42P29I230J</v>
          </cell>
          <cell r="E2606" t="str">
            <v>VIA SARDEGNA, 9</v>
          </cell>
          <cell r="F2606">
            <v>27058</v>
          </cell>
          <cell r="G2606" t="str">
            <v>VOGHERA</v>
          </cell>
          <cell r="H2606" t="str">
            <v>PV</v>
          </cell>
          <cell r="I2606" t="str">
            <v>ITALIA</v>
          </cell>
        </row>
        <row r="2607">
          <cell r="B2607">
            <v>3143</v>
          </cell>
          <cell r="C2607" t="str">
            <v>ZAMBIANCHI  MICHELA</v>
          </cell>
          <cell r="D2607" t="str">
            <v>ZMBMHL75B46M109 T</v>
          </cell>
          <cell r="E2607" t="str">
            <v>VIA XX SETTEMBRE, 80/B</v>
          </cell>
          <cell r="F2607">
            <v>27058</v>
          </cell>
          <cell r="G2607" t="str">
            <v>VOGHERA</v>
          </cell>
          <cell r="H2607" t="str">
            <v>PV</v>
          </cell>
          <cell r="I2607" t="str">
            <v>ITALIA</v>
          </cell>
          <cell r="J2607" t="str">
            <v>0383-366073</v>
          </cell>
        </row>
        <row r="2608">
          <cell r="B2608">
            <v>2736</v>
          </cell>
          <cell r="C2608" t="str">
            <v>ZAMBIBAR CAFE'  S.A.S.  DI CRISTINA  CARELLO &amp; C.</v>
          </cell>
          <cell r="D2608" t="str">
            <v>09474660017 09474660017</v>
          </cell>
          <cell r="E2608" t="str">
            <v>VIA FALCONE E  BORSELLINO, 37</v>
          </cell>
          <cell r="F2608">
            <v>10040</v>
          </cell>
          <cell r="G2608" t="str">
            <v>RIVAROSSA</v>
          </cell>
          <cell r="H2608" t="str">
            <v>TO</v>
          </cell>
          <cell r="I2608" t="str">
            <v>ITALIA</v>
          </cell>
          <cell r="J2608" t="str">
            <v xml:space="preserve">011-9700136 </v>
          </cell>
        </row>
        <row r="2609">
          <cell r="B2609">
            <v>6933</v>
          </cell>
          <cell r="C2609" t="str">
            <v>ZAMPAGLIONE  DAVIDE</v>
          </cell>
          <cell r="D2609" t="str">
            <v>11107710961 ZMPDVD83C29F205 X</v>
          </cell>
          <cell r="E2609" t="str">
            <v>VIA DEI SALICI, 4</v>
          </cell>
          <cell r="F2609">
            <v>20090</v>
          </cell>
          <cell r="G2609" t="str">
            <v>CESANO  BOSCONE</v>
          </cell>
          <cell r="H2609" t="str">
            <v>MI</v>
          </cell>
          <cell r="I2609" t="str">
            <v>ITALIA</v>
          </cell>
          <cell r="J2609" t="str">
            <v>348-1448864</v>
          </cell>
        </row>
        <row r="2610">
          <cell r="B2610">
            <v>7073</v>
          </cell>
          <cell r="C2610" t="str">
            <v>ZAMPINO  SEBASTIANO</v>
          </cell>
          <cell r="D2610" t="str">
            <v>ZMPSST97D14F251 R</v>
          </cell>
          <cell r="E2610" t="str">
            <v>VIA CONTRADA SANTA  ROSA, 7</v>
          </cell>
          <cell r="F2610">
            <v>98073</v>
          </cell>
          <cell r="G2610" t="str">
            <v>MISTRETTA</v>
          </cell>
          <cell r="H2610" t="str">
            <v>ME</v>
          </cell>
          <cell r="I2610" t="str">
            <v>ITALIA</v>
          </cell>
          <cell r="J2610" t="str">
            <v>331-5426189</v>
          </cell>
        </row>
        <row r="2611">
          <cell r="B2611">
            <v>7089</v>
          </cell>
          <cell r="C2611" t="str">
            <v>ZANARDO CRISTINA</v>
          </cell>
          <cell r="D2611" t="str">
            <v>ZNRCST92C65L682 H</v>
          </cell>
          <cell r="E2611" t="str">
            <v>VIA DESSIE' 15/C</v>
          </cell>
          <cell r="F2611">
            <v>20153</v>
          </cell>
          <cell r="G2611" t="str">
            <v>MILANO</v>
          </cell>
          <cell r="H2611" t="str">
            <v>MI</v>
          </cell>
          <cell r="I2611" t="str">
            <v>ITALIA</v>
          </cell>
          <cell r="J2611" t="str">
            <v>393-35282815</v>
          </cell>
        </row>
        <row r="2612">
          <cell r="B2612">
            <v>3430</v>
          </cell>
          <cell r="C2612" t="str">
            <v>ZANFORLIN CINZIA</v>
          </cell>
          <cell r="D2612" t="str">
            <v>ZNFCNZ69A64L304 H</v>
          </cell>
          <cell r="E2612" t="str">
            <v>VIA XX SETTEMBRE, 42</v>
          </cell>
          <cell r="F2612">
            <v>15050</v>
          </cell>
          <cell r="G2612" t="str">
            <v>VILLALVERNIA</v>
          </cell>
          <cell r="H2612" t="str">
            <v>AL</v>
          </cell>
          <cell r="I2612" t="str">
            <v>ITALIA</v>
          </cell>
        </row>
        <row r="2613">
          <cell r="B2613">
            <v>6959</v>
          </cell>
          <cell r="C2613" t="str">
            <v>ZANI S.P.A.</v>
          </cell>
          <cell r="D2613" t="str">
            <v>02463280129</v>
          </cell>
          <cell r="E2613" t="str">
            <v>VIA LANINO, 32</v>
          </cell>
          <cell r="F2613">
            <v>21047</v>
          </cell>
          <cell r="G2613" t="str">
            <v>SARONNO</v>
          </cell>
          <cell r="H2613" t="str">
            <v>VA</v>
          </cell>
          <cell r="I2613" t="str">
            <v>ITALIA</v>
          </cell>
          <cell r="J2613" t="str">
            <v>02-9668171</v>
          </cell>
        </row>
        <row r="2614">
          <cell r="B2614">
            <v>7479</v>
          </cell>
          <cell r="C2614" t="str">
            <v>ZANINI MARCO</v>
          </cell>
          <cell r="D2614" t="str">
            <v>ZNNMRC70L15E632 K</v>
          </cell>
          <cell r="E2614" t="str">
            <v>CORSO PESCHIERA 309</v>
          </cell>
          <cell r="F2614">
            <v>10141</v>
          </cell>
          <cell r="G2614" t="str">
            <v>TORINO</v>
          </cell>
          <cell r="H2614" t="str">
            <v>TO</v>
          </cell>
          <cell r="I2614" t="str">
            <v>ITALIA</v>
          </cell>
          <cell r="J2614" t="str">
            <v>347-7290831</v>
          </cell>
        </row>
        <row r="2615">
          <cell r="B2615">
            <v>7370</v>
          </cell>
          <cell r="C2615" t="str">
            <v>ZANOTTI PIER  FRANCESCO</v>
          </cell>
          <cell r="D2615" t="str">
            <v>ZNTSFN75H54A859 K</v>
          </cell>
          <cell r="E2615" t="str">
            <v>VIA MARTIRI DELLA  LIBERTA' 2</v>
          </cell>
          <cell r="F2615">
            <v>13899</v>
          </cell>
          <cell r="G2615" t="str">
            <v>PRALUNGO</v>
          </cell>
          <cell r="H2615" t="str">
            <v>BI</v>
          </cell>
          <cell r="I2615" t="str">
            <v>ITALIA</v>
          </cell>
          <cell r="J2615" t="str">
            <v>329-2927962</v>
          </cell>
        </row>
        <row r="2616">
          <cell r="B2616">
            <v>4682</v>
          </cell>
          <cell r="C2616" t="str">
            <v>ZAPPAROLI  MAURIZIO</v>
          </cell>
          <cell r="D2616" t="str">
            <v>ZPPMRZ54B16F994 H</v>
          </cell>
          <cell r="E2616" t="str">
            <v>VIA BELLINI, 27</v>
          </cell>
          <cell r="F2616">
            <v>20023</v>
          </cell>
          <cell r="G2616" t="str">
            <v>CERRO  MAGGIORE</v>
          </cell>
          <cell r="H2616" t="str">
            <v>MI</v>
          </cell>
          <cell r="I2616" t="str">
            <v>ITALIA</v>
          </cell>
          <cell r="J2616" t="str">
            <v>338-7662074</v>
          </cell>
        </row>
        <row r="2617">
          <cell r="B2617">
            <v>4002</v>
          </cell>
          <cell r="C2617" t="str">
            <v>ZENA  DISTRIBUTIONS DI  ANDREA CAROSIO</v>
          </cell>
          <cell r="D2617" t="str">
            <v>01956950990 CRSNDR78H09D969 D</v>
          </cell>
          <cell r="E2617" t="str">
            <v>STRADA PRESERASCA,  14/B</v>
          </cell>
          <cell r="F2617">
            <v>10024</v>
          </cell>
          <cell r="G2617" t="str">
            <v>MONCALIERI</v>
          </cell>
          <cell r="H2617" t="str">
            <v>TO</v>
          </cell>
          <cell r="I2617" t="str">
            <v>ITALIA</v>
          </cell>
          <cell r="J2617" t="str">
            <v xml:space="preserve">0143830214 </v>
          </cell>
        </row>
        <row r="2618">
          <cell r="B2618">
            <v>4842</v>
          </cell>
          <cell r="C2618" t="str">
            <v>ZENA SHOP 24  DI ANDRADE LUCIA  VERONICA  ENRIQUEZ</v>
          </cell>
          <cell r="D2618" t="str">
            <v>02146850991</v>
          </cell>
          <cell r="E2618" t="str">
            <v>VIA MILANO 78 ROSSO</v>
          </cell>
          <cell r="F2618">
            <v>16126</v>
          </cell>
          <cell r="G2618" t="str">
            <v>GENOVA</v>
          </cell>
          <cell r="H2618" t="str">
            <v>GE</v>
          </cell>
          <cell r="I2618" t="str">
            <v>ITALIA</v>
          </cell>
          <cell r="J2618" t="str">
            <v>338-8193108</v>
          </cell>
        </row>
        <row r="2619">
          <cell r="B2619">
            <v>3694</v>
          </cell>
          <cell r="C2619" t="str">
            <v>ZERONOVE S.A.S DI  JOAN HELEN WIGLEY  &amp; C.</v>
          </cell>
          <cell r="D2619" t="str">
            <v>10187540017 10187540017</v>
          </cell>
          <cell r="E2619" t="str">
            <v>VIA BARETTI, 3</v>
          </cell>
          <cell r="F2619">
            <v>10125</v>
          </cell>
          <cell r="G2619" t="str">
            <v>TORINO</v>
          </cell>
          <cell r="H2619" t="str">
            <v>TO</v>
          </cell>
          <cell r="I2619" t="str">
            <v>ITALIA</v>
          </cell>
          <cell r="J2619" t="str">
            <v>392-1364774</v>
          </cell>
        </row>
        <row r="2620">
          <cell r="B2620">
            <v>189</v>
          </cell>
          <cell r="C2620" t="str">
            <v>ZOCA S.N.C. DI  CANEPA G. &amp; C.</v>
          </cell>
          <cell r="D2620" t="str">
            <v>00230480063 00230480063</v>
          </cell>
          <cell r="E2620" t="str">
            <v>VIA OLIVIERO CAPELLO,  45</v>
          </cell>
          <cell r="F2620">
            <v>15033</v>
          </cell>
          <cell r="G2620" t="str">
            <v>CASALE  MONFERRATO</v>
          </cell>
          <cell r="H2620" t="str">
            <v>AL</v>
          </cell>
          <cell r="I2620" t="str">
            <v>ITALIA</v>
          </cell>
          <cell r="J2620" t="str">
            <v>0142-72516</v>
          </cell>
        </row>
        <row r="2621">
          <cell r="B2621">
            <v>4562</v>
          </cell>
          <cell r="C2621" t="str">
            <v>ZONZINI SRL  CARRELLI  SALISCALE</v>
          </cell>
          <cell r="D2621" t="str">
            <v>03550540235 03550540235</v>
          </cell>
          <cell r="E2621" t="str">
            <v>VIA D.L. STURZO, 8 Z.I.</v>
          </cell>
          <cell r="F2621">
            <v>37052</v>
          </cell>
          <cell r="G2621" t="str">
            <v>CASALEONE</v>
          </cell>
          <cell r="H2621" t="str">
            <v>VR</v>
          </cell>
          <cell r="I2621" t="str">
            <v>ITALIA</v>
          </cell>
          <cell r="J2621" t="str">
            <v>044-2330421</v>
          </cell>
        </row>
        <row r="2622">
          <cell r="B2622">
            <v>4360</v>
          </cell>
          <cell r="C2622" t="str">
            <v>ZORODDU  SALVATORE</v>
          </cell>
          <cell r="D2622" t="str">
            <v>08858760013 ZRDSVT60B02F667 B</v>
          </cell>
          <cell r="E2622" t="str">
            <v>CORSO COSENZA, 61</v>
          </cell>
          <cell r="F2622">
            <v>10137</v>
          </cell>
          <cell r="G2622" t="str">
            <v>TORINO</v>
          </cell>
          <cell r="H2622" t="str">
            <v>TO</v>
          </cell>
          <cell r="I2622" t="str">
            <v>ITALIA</v>
          </cell>
          <cell r="J2622" t="str">
            <v>347-8746283</v>
          </cell>
        </row>
        <row r="2623">
          <cell r="B2623">
            <v>1362</v>
          </cell>
          <cell r="C2623" t="str">
            <v>ZOTTA MICHELE  GESTIONE  DISTRIBUTORI  AUTOMAT.</v>
          </cell>
          <cell r="D2623" t="str">
            <v>01706450069 ZTTMHL66A31A182 E</v>
          </cell>
          <cell r="E2623" t="str">
            <v>VIA XX SETTEMBRE, 84</v>
          </cell>
          <cell r="F2623">
            <v>15062</v>
          </cell>
          <cell r="G2623" t="str">
            <v>BOSCO  MARENGO</v>
          </cell>
          <cell r="H2623" t="str">
            <v>AL</v>
          </cell>
          <cell r="I2623" t="str">
            <v>ITALIA</v>
          </cell>
          <cell r="J2623" t="str">
            <v>0131-299546</v>
          </cell>
        </row>
        <row r="2624">
          <cell r="B2624">
            <v>4848</v>
          </cell>
          <cell r="C2624" t="str">
            <v>ZUCCHETTI  AXESS S.P.A.</v>
          </cell>
          <cell r="D2624" t="str">
            <v>03537610960 03537610960</v>
          </cell>
          <cell r="E2624" t="str">
            <v>VIA SOLFERINO, 1</v>
          </cell>
          <cell r="F2624">
            <v>26900</v>
          </cell>
          <cell r="G2624" t="str">
            <v>LODI</v>
          </cell>
          <cell r="H2624" t="str">
            <v>LO</v>
          </cell>
          <cell r="I2624" t="str">
            <v>ITALIA</v>
          </cell>
          <cell r="J2624" t="str">
            <v>0371-5947000</v>
          </cell>
        </row>
        <row r="2625">
          <cell r="B2625">
            <v>7336</v>
          </cell>
          <cell r="C2625" t="str">
            <v>ZUECCO TALUNA</v>
          </cell>
          <cell r="D2625" t="str">
            <v>ZCCTLN90A41E253J</v>
          </cell>
          <cell r="E2625" t="str">
            <v>VIA DON MORI 8</v>
          </cell>
          <cell r="F2625">
            <v>42044</v>
          </cell>
          <cell r="G2625" t="str">
            <v>GUALTIERI</v>
          </cell>
          <cell r="H2625" t="str">
            <v>RE</v>
          </cell>
          <cell r="I2625" t="str">
            <v>ITALIA</v>
          </cell>
          <cell r="J2625" t="str">
            <v>ro</v>
          </cell>
        </row>
        <row r="2626">
          <cell r="B2626">
            <v>3414</v>
          </cell>
          <cell r="C2626" t="str">
            <v>ZUEGG S.P.A.  DIVISIONE  PRODOTTI FINITI</v>
          </cell>
          <cell r="D2626" t="str">
            <v>02913800237 01387860214</v>
          </cell>
          <cell r="E2626" t="str">
            <v>VIA FRANCIA, 6</v>
          </cell>
          <cell r="F2626">
            <v>37135</v>
          </cell>
          <cell r="G2626" t="str">
            <v>VERONA</v>
          </cell>
          <cell r="H2626" t="str">
            <v>VR</v>
          </cell>
          <cell r="I2626" t="str">
            <v>ITALIA</v>
          </cell>
          <cell r="J2626" t="str">
            <v>045-8292611</v>
          </cell>
        </row>
        <row r="2627">
          <cell r="B2627">
            <v>3303</v>
          </cell>
          <cell r="C2627" t="str">
            <v>ZUFFI SERAFINO</v>
          </cell>
          <cell r="D2627" t="str">
            <v>00279150338 ZFFSFN42E20M165J</v>
          </cell>
          <cell r="E2627" t="str">
            <v>FRAZ. VEZIMO, 37</v>
          </cell>
          <cell r="F2627">
            <v>29020</v>
          </cell>
          <cell r="G2627" t="str">
            <v>ZERBA</v>
          </cell>
          <cell r="H2627" t="str">
            <v>PC</v>
          </cell>
          <cell r="I2627" t="str">
            <v>ITALIA</v>
          </cell>
          <cell r="J2627" t="str">
            <v>0523-935104</v>
          </cell>
        </row>
        <row r="2628">
          <cell r="B2628">
            <v>7117</v>
          </cell>
          <cell r="C2628" t="str">
            <v>ZUFFOLATO VANIA  ERMINIA</v>
          </cell>
          <cell r="D2628" t="str">
            <v>ZFFVRM75A61H783 U</v>
          </cell>
          <cell r="E2628" t="str">
            <v>BORGOLETTO DI SOTTO,  17</v>
          </cell>
          <cell r="F2628">
            <v>37047</v>
          </cell>
          <cell r="G2628" t="str">
            <v>SAN BONIFACIO</v>
          </cell>
          <cell r="H2628" t="str">
            <v>VR</v>
          </cell>
          <cell r="I2628" t="str">
            <v>ITALIA</v>
          </cell>
          <cell r="J2628" t="str">
            <v>339-4259248</v>
          </cell>
        </row>
        <row r="2629">
          <cell r="B2629">
            <v>7326</v>
          </cell>
          <cell r="C2629" t="str">
            <v>ZULIAN MONICA</v>
          </cell>
          <cell r="D2629" t="str">
            <v>ZLNMNC70M41L219 J</v>
          </cell>
          <cell r="E2629" t="str">
            <v>VIA CAVALIERI DI  VITTORIO VENETO 4</v>
          </cell>
          <cell r="F2629">
            <v>27038</v>
          </cell>
          <cell r="G2629" t="str">
            <v>ROBBIO</v>
          </cell>
          <cell r="H2629" t="str">
            <v>BS</v>
          </cell>
          <cell r="I2629" t="str">
            <v>ITALIA</v>
          </cell>
          <cell r="J2629" t="str">
            <v>342-8909729</v>
          </cell>
        </row>
        <row r="2630">
          <cell r="B2630">
            <v>10388</v>
          </cell>
          <cell r="C2630" t="str">
            <v>TWIN WORKS LTD</v>
          </cell>
          <cell r="E2630" t="str">
            <v>GYARMAT STREET, 5A</v>
          </cell>
          <cell r="F2630">
            <v>1046</v>
          </cell>
          <cell r="G2630" t="str">
            <v>BUDAPEST</v>
          </cell>
          <cell r="I2630" t="str">
            <v>HUNGARY</v>
          </cell>
        </row>
        <row r="2631">
          <cell r="B2631">
            <v>9724</v>
          </cell>
          <cell r="C2631" t="str">
            <v>OCG SRLS</v>
          </cell>
          <cell r="E2631" t="str">
            <v>VIA CAMPO DEI FIORI, 6</v>
          </cell>
          <cell r="F2631">
            <v>21040</v>
          </cell>
          <cell r="G2631" t="str">
            <v>CASTRONNO</v>
          </cell>
          <cell r="H2631" t="str">
            <v>VA</v>
          </cell>
          <cell r="I2631" t="str">
            <v>ITALIA</v>
          </cell>
          <cell r="J2631" t="str">
            <v>392-6087620</v>
          </cell>
        </row>
        <row r="2632">
          <cell r="B2632">
            <v>10395</v>
          </cell>
          <cell r="C2632" t="str">
            <v>RMS VENDING S.R.L.</v>
          </cell>
          <cell r="E2632" t="str">
            <v>VIA ANTONIO AMATO, 24</v>
          </cell>
          <cell r="F2632">
            <v>84131</v>
          </cell>
          <cell r="G2632" t="str">
            <v>SALERNO</v>
          </cell>
          <cell r="H2632" t="str">
            <v>SA</v>
          </cell>
          <cell r="I2632" t="str">
            <v>ITALIA</v>
          </cell>
          <cell r="J2632" t="str">
            <v>089-2854641</v>
          </cell>
        </row>
        <row r="2633">
          <cell r="B2633">
            <v>10291</v>
          </cell>
          <cell r="C2633" t="str">
            <v>COFFEELOVE VENDING SERVICE S.R.L.</v>
          </cell>
          <cell r="E2633" t="str">
            <v>VIA PADRE G.P. STUCCHI, 10</v>
          </cell>
          <cell r="F2633">
            <v>20874</v>
          </cell>
          <cell r="G2633" t="str">
            <v>BUSNAGO</v>
          </cell>
          <cell r="H2633" t="str">
            <v>MB</v>
          </cell>
          <cell r="I2633" t="str">
            <v>ITALIA</v>
          </cell>
          <cell r="J2633">
            <v>399631525</v>
          </cell>
        </row>
        <row r="2634">
          <cell r="B2634">
            <v>10414</v>
          </cell>
          <cell r="C2634" t="str">
            <v>EASY MALL</v>
          </cell>
          <cell r="E2634" t="str">
            <v>VIA TURATI, 20</v>
          </cell>
          <cell r="F2634">
            <v>27051</v>
          </cell>
          <cell r="G2634" t="str">
            <v>MEZZANA CORTI</v>
          </cell>
          <cell r="H2634" t="str">
            <v>PV</v>
          </cell>
          <cell r="I2634" t="str">
            <v>ITALIA</v>
          </cell>
          <cell r="J2634" t="str">
            <v>333-8907836</v>
          </cell>
        </row>
        <row r="2635">
          <cell r="B2635">
            <v>122</v>
          </cell>
          <cell r="C2635" t="str">
            <v>ORASESTA S.P.A.</v>
          </cell>
          <cell r="E2635" t="str">
            <v>VIA SAN LORENZO, 33/G</v>
          </cell>
          <cell r="F2635">
            <v>41015</v>
          </cell>
          <cell r="G2635" t="str">
            <v>NONATOLA</v>
          </cell>
          <cell r="H2635" t="str">
            <v>MO</v>
          </cell>
          <cell r="I2635" t="str">
            <v>ITALIA</v>
          </cell>
          <cell r="J2635"/>
        </row>
        <row r="2636">
          <cell r="B2636">
            <v>10379</v>
          </cell>
          <cell r="C2636" t="str">
            <v>LIUZZI GIACOMO</v>
          </cell>
          <cell r="E2636" t="str">
            <v>VIA S. ORONZO, 145</v>
          </cell>
          <cell r="F2636">
            <v>72015</v>
          </cell>
          <cell r="G2636" t="str">
            <v>FASANO</v>
          </cell>
          <cell r="H2636" t="str">
            <v>BR</v>
          </cell>
          <cell r="I2636" t="str">
            <v>ITALIA</v>
          </cell>
          <cell r="J2636">
            <v>2124250743</v>
          </cell>
        </row>
        <row r="2637">
          <cell r="B2637">
            <v>10435</v>
          </cell>
          <cell r="C2637" t="str">
            <v>ASS.NE BANCO ALIMENTARE "DANILO FOSSATI" ODV</v>
          </cell>
          <cell r="E2637" t="str">
            <v>VIA PAP GIOVANNI XXIII, 17/19</v>
          </cell>
          <cell r="F2637">
            <v>20835</v>
          </cell>
          <cell r="G2637" t="str">
            <v>MUGGIO'</v>
          </cell>
          <cell r="H2637" t="str">
            <v>MB</v>
          </cell>
          <cell r="I2637" t="str">
            <v>ITALIA</v>
          </cell>
          <cell r="J2637" t="str">
            <v>039-5972950</v>
          </cell>
        </row>
        <row r="2638">
          <cell r="B2638">
            <v>10453</v>
          </cell>
          <cell r="C2638" t="str">
            <v>MR BROWN CAFFE' DI SCOTTA' ANTONELLA</v>
          </cell>
          <cell r="E2638" t="str">
            <v>VIA CADORNA, 34</v>
          </cell>
          <cell r="F2638">
            <v>30020</v>
          </cell>
          <cell r="G2638" t="str">
            <v>ERACLEA</v>
          </cell>
          <cell r="H2638" t="str">
            <v>VE</v>
          </cell>
          <cell r="I2638" t="str">
            <v>ITALIA</v>
          </cell>
          <cell r="J2638" t="str">
            <v>349-5983240</v>
          </cell>
        </row>
        <row r="2639">
          <cell r="B2639">
            <v>10472</v>
          </cell>
          <cell r="C2639" t="str">
            <v>GRUPPO AG SRL</v>
          </cell>
          <cell r="E2639" t="str">
            <v>VIA DEGLI OLIVI, 2</v>
          </cell>
          <cell r="F2639">
            <v>10472</v>
          </cell>
          <cell r="G2639" t="str">
            <v>CASTELFRANCO VENETO</v>
          </cell>
          <cell r="H2639" t="str">
            <v>TV</v>
          </cell>
          <cell r="I2639" t="str">
            <v>ITALIA</v>
          </cell>
          <cell r="J2639">
            <v>423721217</v>
          </cell>
        </row>
        <row r="2640">
          <cell r="B2640">
            <v>10308</v>
          </cell>
          <cell r="C2640" t="str">
            <v>T.N.SERVICE DI TESSARIN NATALINO</v>
          </cell>
          <cell r="E2640" t="str">
            <v>VIA DELL'ARTIGIANATO, 4</v>
          </cell>
          <cell r="F2640">
            <v>45014</v>
          </cell>
          <cell r="G2640" t="str">
            <v>PORTO VIRO</v>
          </cell>
          <cell r="H2640" t="str">
            <v>RO</v>
          </cell>
          <cell r="I2640" t="str">
            <v>ITALIA</v>
          </cell>
          <cell r="J2640" t="str">
            <v>320-2198779</v>
          </cell>
        </row>
        <row r="2641">
          <cell r="B2641">
            <v>10221</v>
          </cell>
          <cell r="C2641" t="str">
            <v>SKONIX ITALY S.R.L.</v>
          </cell>
          <cell r="E2641" t="str">
            <v>VIA T. EDISON, 5</v>
          </cell>
          <cell r="F2641">
            <v>37060</v>
          </cell>
          <cell r="G2641" t="str">
            <v>SOMMACAMPAGNA</v>
          </cell>
          <cell r="H2641" t="str">
            <v>VR</v>
          </cell>
          <cell r="I2641" t="str">
            <v>ITALIA</v>
          </cell>
          <cell r="J2641" t="str">
            <v>045-8525588</v>
          </cell>
        </row>
        <row r="2642">
          <cell r="B2642">
            <v>10521</v>
          </cell>
          <cell r="C2642" t="str">
            <v>MAVICO D.O.O.</v>
          </cell>
          <cell r="E2642" t="str">
            <v>KOPRSKA, 94</v>
          </cell>
          <cell r="F2642">
            <v>1000</v>
          </cell>
          <cell r="G2642" t="str">
            <v>LJUBLANA</v>
          </cell>
          <cell r="H2642" t="str">
            <v>SI</v>
          </cell>
          <cell r="I2642" t="str">
            <v>SLOVENIA</v>
          </cell>
          <cell r="J2642">
            <v>38641670586</v>
          </cell>
        </row>
        <row r="2643">
          <cell r="B2643">
            <v>10554</v>
          </cell>
          <cell r="C2643" t="str">
            <v>SZ-ZIP STORITVE D.O.O.</v>
          </cell>
          <cell r="E2643" t="str">
            <v>KOLODVORSKA ULICA, 11</v>
          </cell>
          <cell r="F2643">
            <v>1000</v>
          </cell>
          <cell r="G2643" t="str">
            <v>LJUBLANA</v>
          </cell>
          <cell r="H2643" t="str">
            <v>SI</v>
          </cell>
          <cell r="I2643" t="str">
            <v>SLOVENIA</v>
          </cell>
          <cell r="J2643">
            <v>36812912841</v>
          </cell>
        </row>
        <row r="2644">
          <cell r="B2644">
            <v>10553</v>
          </cell>
          <cell r="C2644" t="str">
            <v>TOPI D.O.O.</v>
          </cell>
          <cell r="E2644" t="str">
            <v>MALI VRH, 31</v>
          </cell>
          <cell r="F2644">
            <v>8254</v>
          </cell>
          <cell r="G2644" t="str">
            <v>GLOBOKO</v>
          </cell>
          <cell r="H2644" t="str">
            <v>SI</v>
          </cell>
          <cell r="I2644" t="str">
            <v>SLOVENIA</v>
          </cell>
          <cell r="J2644">
            <v>38674521140</v>
          </cell>
        </row>
        <row r="2645">
          <cell r="B2645">
            <v>10528</v>
          </cell>
          <cell r="C2645" t="str">
            <v>CIALDE &amp; CO DI VILLA MARTINA</v>
          </cell>
          <cell r="E2645" t="str">
            <v>PIAZZA SANDRO PERTINI, 14</v>
          </cell>
          <cell r="F2645">
            <v>20862</v>
          </cell>
          <cell r="G2645" t="str">
            <v>ARCORE</v>
          </cell>
          <cell r="H2645" t="str">
            <v>MB</v>
          </cell>
          <cell r="I2645" t="str">
            <v>ITALIA</v>
          </cell>
          <cell r="J2645" t="str">
            <v>345-5916865</v>
          </cell>
        </row>
        <row r="2646">
          <cell r="B2646">
            <v>10533</v>
          </cell>
          <cell r="C2646" t="str">
            <v>MA-VE DISTRIBUTION S.A.S. DI MARTINELLI TIZIANA &amp; C.</v>
          </cell>
          <cell r="E2646" t="str">
            <v>VIA MILANO 119</v>
          </cell>
          <cell r="F2646">
            <v>22100</v>
          </cell>
          <cell r="G2646" t="str">
            <v>COMO</v>
          </cell>
          <cell r="H2646" t="str">
            <v>CO</v>
          </cell>
          <cell r="I2646" t="str">
            <v>ITALIA</v>
          </cell>
          <cell r="J2646" t="str">
            <v>339-3722611</v>
          </cell>
        </row>
        <row r="2647">
          <cell r="B2647">
            <v>10446</v>
          </cell>
          <cell r="C2647" t="str">
            <v xml:space="preserve">PROGRESS SRL </v>
          </cell>
          <cell r="E2647" t="str">
            <v>VIA A. PICOZZI, 14</v>
          </cell>
          <cell r="F2647">
            <v>20090</v>
          </cell>
          <cell r="G2647" t="str">
            <v>CESANO BOSCONE</v>
          </cell>
          <cell r="H2647" t="str">
            <v>MI</v>
          </cell>
          <cell r="I2647" t="str">
            <v>ITALIA</v>
          </cell>
          <cell r="J2647" t="str">
            <v>327-0177492</v>
          </cell>
        </row>
        <row r="2648">
          <cell r="B2648">
            <v>4177</v>
          </cell>
          <cell r="C2648" t="str">
            <v>ITALIA GENUINA DI ANDREA MERCATALI</v>
          </cell>
          <cell r="E2648" t="str">
            <v>VIA ALLE COLME, 16</v>
          </cell>
          <cell r="F2648">
            <v>22034</v>
          </cell>
          <cell r="G2648" t="str">
            <v>BRUNATE</v>
          </cell>
          <cell r="H2648" t="str">
            <v>CO</v>
          </cell>
          <cell r="I2648" t="str">
            <v>ITALIA</v>
          </cell>
          <cell r="J2648" t="str">
            <v>031-220539</v>
          </cell>
        </row>
        <row r="2649">
          <cell r="B2649">
            <v>10584</v>
          </cell>
          <cell r="C2649" t="str">
            <v>S.I.B. SNC DI MURARO EGIDIO &amp; C.</v>
          </cell>
          <cell r="E2649" t="str">
            <v>VIA GAETANO LONGO, 8/11</v>
          </cell>
          <cell r="F2649">
            <v>10584</v>
          </cell>
          <cell r="G2649" t="str">
            <v>ESTE</v>
          </cell>
          <cell r="H2649" t="str">
            <v>PD</v>
          </cell>
          <cell r="I2649" t="str">
            <v>ITALIA</v>
          </cell>
          <cell r="J2649" t="str">
            <v>336-498252</v>
          </cell>
        </row>
        <row r="2650">
          <cell r="C2650">
            <v>0</v>
          </cell>
          <cell r="F2650"/>
        </row>
        <row r="2651">
          <cell r="C2651">
            <v>0</v>
          </cell>
          <cell r="F2651"/>
        </row>
        <row r="2652">
          <cell r="C2652">
            <v>0</v>
          </cell>
          <cell r="F2652"/>
        </row>
        <row r="2653">
          <cell r="C2653">
            <v>0</v>
          </cell>
          <cell r="F2653"/>
        </row>
        <row r="2654">
          <cell r="C2654">
            <v>0</v>
          </cell>
          <cell r="F2654"/>
        </row>
        <row r="2655">
          <cell r="C2655">
            <v>0</v>
          </cell>
          <cell r="F2655"/>
        </row>
        <row r="2656">
          <cell r="C2656">
            <v>0</v>
          </cell>
          <cell r="F2656"/>
        </row>
        <row r="2657">
          <cell r="C2657">
            <v>0</v>
          </cell>
          <cell r="F2657"/>
        </row>
        <row r="2658">
          <cell r="C2658">
            <v>0</v>
          </cell>
          <cell r="F2658"/>
        </row>
        <row r="2659">
          <cell r="C2659">
            <v>0</v>
          </cell>
          <cell r="F2659"/>
        </row>
        <row r="2660">
          <cell r="C2660">
            <v>0</v>
          </cell>
          <cell r="F2660"/>
        </row>
        <row r="2661">
          <cell r="C2661">
            <v>0</v>
          </cell>
          <cell r="F2661"/>
        </row>
        <row r="2662">
          <cell r="C2662">
            <v>0</v>
          </cell>
          <cell r="F2662"/>
        </row>
        <row r="2663">
          <cell r="C2663">
            <v>0</v>
          </cell>
          <cell r="F2663"/>
        </row>
        <row r="2664">
          <cell r="C2664">
            <v>0</v>
          </cell>
          <cell r="F2664"/>
        </row>
        <row r="2665">
          <cell r="C2665">
            <v>0</v>
          </cell>
          <cell r="F2665"/>
        </row>
        <row r="2666">
          <cell r="C2666">
            <v>0</v>
          </cell>
          <cell r="F2666"/>
        </row>
        <row r="2667">
          <cell r="C2667">
            <v>0</v>
          </cell>
          <cell r="F2667"/>
        </row>
        <row r="2668">
          <cell r="C2668">
            <v>0</v>
          </cell>
          <cell r="F2668"/>
        </row>
        <row r="2669">
          <cell r="C2669">
            <v>0</v>
          </cell>
          <cell r="F2669"/>
        </row>
        <row r="2670">
          <cell r="C2670">
            <v>0</v>
          </cell>
          <cell r="F2670"/>
        </row>
        <row r="2671">
          <cell r="C2671">
            <v>0</v>
          </cell>
          <cell r="F2671"/>
        </row>
        <row r="2672">
          <cell r="C2672">
            <v>0</v>
          </cell>
          <cell r="F2672"/>
        </row>
        <row r="2673">
          <cell r="C2673">
            <v>0</v>
          </cell>
          <cell r="F2673"/>
        </row>
        <row r="2674">
          <cell r="C2674">
            <v>0</v>
          </cell>
          <cell r="F2674"/>
        </row>
        <row r="2675">
          <cell r="C2675">
            <v>0</v>
          </cell>
          <cell r="F2675"/>
        </row>
        <row r="2676">
          <cell r="C2676">
            <v>0</v>
          </cell>
          <cell r="F2676"/>
        </row>
        <row r="2677">
          <cell r="C2677">
            <v>0</v>
          </cell>
          <cell r="F2677"/>
        </row>
        <row r="2678">
          <cell r="C2678">
            <v>0</v>
          </cell>
          <cell r="F2678"/>
        </row>
        <row r="2679">
          <cell r="C2679">
            <v>0</v>
          </cell>
          <cell r="F2679"/>
        </row>
        <row r="2680">
          <cell r="C2680">
            <v>0</v>
          </cell>
          <cell r="F2680"/>
        </row>
        <row r="2681">
          <cell r="C2681">
            <v>0</v>
          </cell>
          <cell r="F2681"/>
        </row>
        <row r="2682">
          <cell r="C2682">
            <v>0</v>
          </cell>
          <cell r="F2682"/>
        </row>
        <row r="2683">
          <cell r="C2683">
            <v>0</v>
          </cell>
          <cell r="F2683"/>
        </row>
        <row r="2684">
          <cell r="C2684">
            <v>0</v>
          </cell>
          <cell r="F2684"/>
        </row>
        <row r="2685">
          <cell r="C2685">
            <v>0</v>
          </cell>
          <cell r="F2685"/>
        </row>
        <row r="2686">
          <cell r="C2686">
            <v>0</v>
          </cell>
          <cell r="F2686"/>
        </row>
        <row r="2687">
          <cell r="C2687">
            <v>0</v>
          </cell>
          <cell r="F2687"/>
        </row>
        <row r="2688">
          <cell r="C2688">
            <v>0</v>
          </cell>
          <cell r="F2688"/>
        </row>
        <row r="2689">
          <cell r="C2689">
            <v>0</v>
          </cell>
          <cell r="F2689"/>
        </row>
        <row r="2690">
          <cell r="C2690">
            <v>0</v>
          </cell>
          <cell r="F2690"/>
        </row>
        <row r="2691">
          <cell r="C2691">
            <v>0</v>
          </cell>
          <cell r="F2691"/>
        </row>
        <row r="2692">
          <cell r="C2692">
            <v>0</v>
          </cell>
          <cell r="F2692"/>
        </row>
        <row r="2693">
          <cell r="C2693">
            <v>0</v>
          </cell>
          <cell r="F2693"/>
        </row>
        <row r="2694">
          <cell r="C2694">
            <v>0</v>
          </cell>
          <cell r="F2694"/>
        </row>
        <row r="2695">
          <cell r="C2695">
            <v>0</v>
          </cell>
          <cell r="F2695"/>
        </row>
        <row r="2696">
          <cell r="C2696">
            <v>0</v>
          </cell>
          <cell r="F2696"/>
        </row>
        <row r="2697">
          <cell r="C2697">
            <v>0</v>
          </cell>
          <cell r="F2697"/>
        </row>
        <row r="2698">
          <cell r="C2698">
            <v>0</v>
          </cell>
          <cell r="F2698"/>
        </row>
        <row r="2699">
          <cell r="C2699">
            <v>0</v>
          </cell>
          <cell r="F2699"/>
        </row>
        <row r="2700">
          <cell r="C2700">
            <v>0</v>
          </cell>
          <cell r="F2700"/>
        </row>
        <row r="2701">
          <cell r="C2701">
            <v>0</v>
          </cell>
          <cell r="F2701"/>
        </row>
        <row r="2702">
          <cell r="C2702">
            <v>0</v>
          </cell>
          <cell r="F2702"/>
        </row>
        <row r="2703">
          <cell r="C2703">
            <v>0</v>
          </cell>
          <cell r="F2703"/>
        </row>
        <row r="2704">
          <cell r="C2704">
            <v>0</v>
          </cell>
          <cell r="F2704"/>
        </row>
        <row r="2705">
          <cell r="C2705">
            <v>0</v>
          </cell>
          <cell r="F2705"/>
        </row>
        <row r="2706">
          <cell r="C2706">
            <v>0</v>
          </cell>
          <cell r="F2706"/>
        </row>
        <row r="2707">
          <cell r="C2707">
            <v>0</v>
          </cell>
          <cell r="F2707"/>
        </row>
        <row r="2708">
          <cell r="C2708">
            <v>0</v>
          </cell>
          <cell r="F2708"/>
        </row>
        <row r="2709">
          <cell r="C2709">
            <v>0</v>
          </cell>
          <cell r="F2709"/>
        </row>
        <row r="2710">
          <cell r="C2710">
            <v>0</v>
          </cell>
          <cell r="F2710"/>
        </row>
        <row r="2711">
          <cell r="C2711">
            <v>0</v>
          </cell>
          <cell r="F2711"/>
        </row>
        <row r="2712">
          <cell r="C2712">
            <v>0</v>
          </cell>
          <cell r="F2712"/>
        </row>
        <row r="2713">
          <cell r="C2713">
            <v>0</v>
          </cell>
          <cell r="F2713"/>
        </row>
        <row r="2714">
          <cell r="C2714">
            <v>0</v>
          </cell>
          <cell r="F2714"/>
        </row>
        <row r="2715">
          <cell r="C2715">
            <v>0</v>
          </cell>
          <cell r="F2715"/>
        </row>
        <row r="2716">
          <cell r="C2716">
            <v>0</v>
          </cell>
          <cell r="F2716"/>
        </row>
        <row r="2717">
          <cell r="C2717">
            <v>0</v>
          </cell>
          <cell r="F2717"/>
        </row>
        <row r="2718">
          <cell r="C2718">
            <v>0</v>
          </cell>
          <cell r="F2718"/>
        </row>
        <row r="2719">
          <cell r="C2719">
            <v>0</v>
          </cell>
          <cell r="F2719"/>
        </row>
        <row r="2720">
          <cell r="C2720">
            <v>0</v>
          </cell>
          <cell r="F2720"/>
        </row>
        <row r="2721">
          <cell r="C2721">
            <v>0</v>
          </cell>
          <cell r="F2721"/>
        </row>
        <row r="2722">
          <cell r="C2722">
            <v>0</v>
          </cell>
          <cell r="F2722"/>
        </row>
        <row r="2723">
          <cell r="C2723">
            <v>0</v>
          </cell>
          <cell r="F2723"/>
        </row>
        <row r="2724">
          <cell r="C2724">
            <v>0</v>
          </cell>
          <cell r="F2724"/>
        </row>
        <row r="2725">
          <cell r="C2725">
            <v>0</v>
          </cell>
          <cell r="F2725"/>
        </row>
        <row r="2726">
          <cell r="C2726">
            <v>0</v>
          </cell>
          <cell r="F2726"/>
        </row>
        <row r="2727">
          <cell r="C2727">
            <v>0</v>
          </cell>
          <cell r="F2727"/>
        </row>
        <row r="2728">
          <cell r="C2728">
            <v>0</v>
          </cell>
          <cell r="F2728"/>
        </row>
        <row r="2729">
          <cell r="C2729">
            <v>0</v>
          </cell>
          <cell r="F2729"/>
        </row>
        <row r="2730">
          <cell r="C2730">
            <v>0</v>
          </cell>
          <cell r="F2730"/>
        </row>
        <row r="2731">
          <cell r="C2731">
            <v>0</v>
          </cell>
          <cell r="F2731"/>
        </row>
        <row r="2732">
          <cell r="C2732">
            <v>0</v>
          </cell>
          <cell r="F2732"/>
        </row>
        <row r="2733">
          <cell r="C2733">
            <v>0</v>
          </cell>
          <cell r="F2733"/>
        </row>
        <row r="2734">
          <cell r="C2734">
            <v>0</v>
          </cell>
          <cell r="F2734"/>
        </row>
        <row r="2735">
          <cell r="C2735">
            <v>0</v>
          </cell>
          <cell r="F2735"/>
        </row>
        <row r="2736">
          <cell r="C2736">
            <v>0</v>
          </cell>
          <cell r="F2736"/>
        </row>
        <row r="2737">
          <cell r="C2737">
            <v>0</v>
          </cell>
          <cell r="F2737"/>
        </row>
        <row r="2738">
          <cell r="C2738">
            <v>0</v>
          </cell>
          <cell r="F2738"/>
        </row>
        <row r="2739">
          <cell r="C2739">
            <v>0</v>
          </cell>
          <cell r="F2739"/>
        </row>
        <row r="2740">
          <cell r="C2740">
            <v>0</v>
          </cell>
          <cell r="F2740"/>
        </row>
        <row r="2741">
          <cell r="C2741">
            <v>0</v>
          </cell>
          <cell r="F2741"/>
        </row>
        <row r="2742">
          <cell r="C2742">
            <v>0</v>
          </cell>
          <cell r="F2742"/>
        </row>
        <row r="2743">
          <cell r="C2743">
            <v>0</v>
          </cell>
          <cell r="F2743"/>
        </row>
        <row r="2744">
          <cell r="C2744">
            <v>0</v>
          </cell>
          <cell r="F2744"/>
        </row>
        <row r="2745">
          <cell r="C2745">
            <v>0</v>
          </cell>
          <cell r="F2745"/>
        </row>
        <row r="2746">
          <cell r="C2746">
            <v>0</v>
          </cell>
          <cell r="F2746"/>
        </row>
        <row r="2747">
          <cell r="C2747">
            <v>0</v>
          </cell>
          <cell r="F2747"/>
        </row>
        <row r="2748">
          <cell r="C2748">
            <v>0</v>
          </cell>
          <cell r="F2748"/>
        </row>
        <row r="2749">
          <cell r="C2749">
            <v>0</v>
          </cell>
          <cell r="F2749"/>
        </row>
        <row r="2750">
          <cell r="C2750">
            <v>0</v>
          </cell>
          <cell r="F2750"/>
        </row>
        <row r="2751">
          <cell r="C2751">
            <v>0</v>
          </cell>
          <cell r="F2751"/>
        </row>
        <row r="2752">
          <cell r="C2752">
            <v>0</v>
          </cell>
          <cell r="F2752"/>
        </row>
        <row r="2753">
          <cell r="C2753">
            <v>0</v>
          </cell>
          <cell r="F2753"/>
        </row>
        <row r="2754">
          <cell r="C2754">
            <v>0</v>
          </cell>
          <cell r="F2754"/>
        </row>
        <row r="2755">
          <cell r="C2755">
            <v>0</v>
          </cell>
          <cell r="F2755"/>
        </row>
        <row r="2756">
          <cell r="C2756">
            <v>0</v>
          </cell>
          <cell r="F2756"/>
        </row>
        <row r="2757">
          <cell r="C2757">
            <v>0</v>
          </cell>
          <cell r="F2757"/>
        </row>
        <row r="2758">
          <cell r="C2758">
            <v>0</v>
          </cell>
          <cell r="F2758"/>
        </row>
        <row r="2759">
          <cell r="C2759">
            <v>0</v>
          </cell>
          <cell r="F2759"/>
        </row>
        <row r="2760">
          <cell r="C2760">
            <v>0</v>
          </cell>
          <cell r="F2760"/>
        </row>
        <row r="2761">
          <cell r="C2761">
            <v>0</v>
          </cell>
          <cell r="F2761"/>
        </row>
        <row r="2762">
          <cell r="C2762">
            <v>0</v>
          </cell>
          <cell r="F2762"/>
        </row>
        <row r="2763">
          <cell r="C2763">
            <v>0</v>
          </cell>
          <cell r="F2763"/>
        </row>
        <row r="2764">
          <cell r="C2764">
            <v>0</v>
          </cell>
          <cell r="F2764"/>
        </row>
        <row r="2765">
          <cell r="C2765">
            <v>0</v>
          </cell>
          <cell r="F2765"/>
        </row>
        <row r="2766">
          <cell r="C2766">
            <v>0</v>
          </cell>
          <cell r="F2766"/>
        </row>
        <row r="2767">
          <cell r="C2767">
            <v>0</v>
          </cell>
          <cell r="F2767"/>
        </row>
        <row r="2768">
          <cell r="C2768">
            <v>0</v>
          </cell>
          <cell r="F2768"/>
        </row>
        <row r="2769">
          <cell r="C2769">
            <v>0</v>
          </cell>
          <cell r="F2769"/>
        </row>
        <row r="2770">
          <cell r="C2770">
            <v>0</v>
          </cell>
          <cell r="F2770"/>
        </row>
        <row r="2771">
          <cell r="C2771">
            <v>0</v>
          </cell>
          <cell r="F2771"/>
        </row>
        <row r="2772">
          <cell r="C2772">
            <v>0</v>
          </cell>
          <cell r="F2772"/>
        </row>
        <row r="2773">
          <cell r="C2773">
            <v>0</v>
          </cell>
          <cell r="F2773"/>
        </row>
        <row r="2774">
          <cell r="C2774">
            <v>0</v>
          </cell>
          <cell r="F2774"/>
        </row>
        <row r="2775">
          <cell r="C2775">
            <v>0</v>
          </cell>
          <cell r="F2775"/>
        </row>
        <row r="2776">
          <cell r="C2776">
            <v>0</v>
          </cell>
          <cell r="F2776"/>
        </row>
        <row r="2777">
          <cell r="C2777">
            <v>0</v>
          </cell>
          <cell r="F2777"/>
        </row>
        <row r="2778">
          <cell r="C2778">
            <v>0</v>
          </cell>
          <cell r="F2778"/>
        </row>
        <row r="2779">
          <cell r="C2779">
            <v>0</v>
          </cell>
          <cell r="F2779"/>
        </row>
        <row r="2780">
          <cell r="C2780">
            <v>0</v>
          </cell>
          <cell r="F2780"/>
        </row>
        <row r="2781">
          <cell r="C2781">
            <v>0</v>
          </cell>
          <cell r="F2781"/>
        </row>
        <row r="2782">
          <cell r="C2782">
            <v>0</v>
          </cell>
          <cell r="F2782"/>
        </row>
        <row r="2783">
          <cell r="C2783">
            <v>0</v>
          </cell>
          <cell r="F2783"/>
        </row>
        <row r="2784">
          <cell r="C2784">
            <v>0</v>
          </cell>
          <cell r="F2784"/>
        </row>
        <row r="2785">
          <cell r="C2785">
            <v>0</v>
          </cell>
          <cell r="F2785"/>
        </row>
        <row r="2786">
          <cell r="C2786">
            <v>0</v>
          </cell>
          <cell r="F2786"/>
        </row>
        <row r="2787">
          <cell r="C2787">
            <v>0</v>
          </cell>
          <cell r="F2787"/>
        </row>
        <row r="2788">
          <cell r="C2788">
            <v>0</v>
          </cell>
          <cell r="F2788"/>
        </row>
        <row r="2789">
          <cell r="C2789">
            <v>0</v>
          </cell>
          <cell r="F2789"/>
        </row>
        <row r="2790">
          <cell r="C2790">
            <v>0</v>
          </cell>
          <cell r="F2790"/>
        </row>
        <row r="2791">
          <cell r="C2791">
            <v>0</v>
          </cell>
          <cell r="F2791"/>
        </row>
        <row r="2792">
          <cell r="C2792">
            <v>0</v>
          </cell>
          <cell r="F2792"/>
        </row>
        <row r="2793">
          <cell r="C2793">
            <v>0</v>
          </cell>
          <cell r="F2793"/>
        </row>
        <row r="2794">
          <cell r="C2794">
            <v>0</v>
          </cell>
          <cell r="F2794"/>
        </row>
        <row r="2795">
          <cell r="C2795">
            <v>0</v>
          </cell>
          <cell r="F2795"/>
        </row>
        <row r="2796">
          <cell r="C2796">
            <v>0</v>
          </cell>
          <cell r="F2796"/>
        </row>
        <row r="2797">
          <cell r="C2797">
            <v>0</v>
          </cell>
          <cell r="F2797"/>
        </row>
        <row r="2798">
          <cell r="C2798">
            <v>0</v>
          </cell>
          <cell r="F2798"/>
        </row>
        <row r="2799">
          <cell r="C2799">
            <v>0</v>
          </cell>
          <cell r="F2799"/>
        </row>
        <row r="2800">
          <cell r="C2800">
            <v>0</v>
          </cell>
          <cell r="F2800"/>
        </row>
        <row r="2801">
          <cell r="C2801">
            <v>0</v>
          </cell>
          <cell r="F2801"/>
        </row>
        <row r="2802">
          <cell r="C2802">
            <v>0</v>
          </cell>
          <cell r="F2802"/>
        </row>
        <row r="2803">
          <cell r="C2803">
            <v>0</v>
          </cell>
          <cell r="F2803"/>
        </row>
        <row r="2804">
          <cell r="C2804">
            <v>0</v>
          </cell>
          <cell r="F2804"/>
        </row>
        <row r="2805">
          <cell r="C2805">
            <v>0</v>
          </cell>
          <cell r="F2805"/>
        </row>
        <row r="2806">
          <cell r="C2806">
            <v>0</v>
          </cell>
          <cell r="F2806"/>
        </row>
        <row r="2807">
          <cell r="C2807">
            <v>0</v>
          </cell>
          <cell r="F2807"/>
        </row>
        <row r="2808">
          <cell r="C2808">
            <v>0</v>
          </cell>
          <cell r="F2808"/>
        </row>
        <row r="2809">
          <cell r="C2809">
            <v>0</v>
          </cell>
          <cell r="F2809"/>
        </row>
        <row r="2810">
          <cell r="C2810">
            <v>0</v>
          </cell>
          <cell r="F2810"/>
        </row>
        <row r="2811">
          <cell r="C2811">
            <v>0</v>
          </cell>
          <cell r="F2811"/>
        </row>
        <row r="2812">
          <cell r="C2812">
            <v>0</v>
          </cell>
          <cell r="F2812"/>
        </row>
        <row r="2813">
          <cell r="C2813">
            <v>0</v>
          </cell>
          <cell r="F2813"/>
        </row>
        <row r="2814">
          <cell r="C2814">
            <v>0</v>
          </cell>
          <cell r="F2814"/>
        </row>
        <row r="2815">
          <cell r="C2815">
            <v>0</v>
          </cell>
          <cell r="F2815"/>
        </row>
        <row r="2816">
          <cell r="C2816">
            <v>0</v>
          </cell>
          <cell r="F2816"/>
        </row>
        <row r="2817">
          <cell r="C2817">
            <v>0</v>
          </cell>
          <cell r="F2817"/>
        </row>
        <row r="2818">
          <cell r="C2818">
            <v>0</v>
          </cell>
          <cell r="F2818"/>
        </row>
        <row r="2819">
          <cell r="C2819">
            <v>0</v>
          </cell>
          <cell r="F2819"/>
        </row>
        <row r="2820">
          <cell r="C2820">
            <v>0</v>
          </cell>
          <cell r="F2820"/>
        </row>
        <row r="2821">
          <cell r="C2821">
            <v>0</v>
          </cell>
          <cell r="F2821"/>
        </row>
        <row r="2822">
          <cell r="C2822">
            <v>0</v>
          </cell>
          <cell r="F2822"/>
        </row>
        <row r="2823">
          <cell r="C2823">
            <v>0</v>
          </cell>
          <cell r="F2823"/>
        </row>
        <row r="2824">
          <cell r="C2824">
            <v>0</v>
          </cell>
          <cell r="F2824"/>
        </row>
        <row r="2825">
          <cell r="C2825">
            <v>0</v>
          </cell>
          <cell r="F2825"/>
        </row>
        <row r="2826">
          <cell r="C2826">
            <v>0</v>
          </cell>
          <cell r="F2826"/>
        </row>
        <row r="2827">
          <cell r="C2827">
            <v>0</v>
          </cell>
          <cell r="F2827"/>
        </row>
        <row r="2828">
          <cell r="C2828">
            <v>0</v>
          </cell>
          <cell r="F2828"/>
        </row>
        <row r="2829">
          <cell r="C2829">
            <v>0</v>
          </cell>
          <cell r="F2829"/>
        </row>
        <row r="2830">
          <cell r="C2830">
            <v>0</v>
          </cell>
          <cell r="F2830"/>
        </row>
        <row r="2831">
          <cell r="C2831">
            <v>0</v>
          </cell>
          <cell r="F2831"/>
        </row>
        <row r="2832">
          <cell r="C2832">
            <v>0</v>
          </cell>
          <cell r="F2832"/>
        </row>
        <row r="2833">
          <cell r="C2833">
            <v>0</v>
          </cell>
          <cell r="F2833"/>
        </row>
        <row r="2834">
          <cell r="C2834">
            <v>0</v>
          </cell>
          <cell r="F2834"/>
        </row>
        <row r="2835">
          <cell r="C2835">
            <v>0</v>
          </cell>
          <cell r="F2835"/>
        </row>
        <row r="2836">
          <cell r="C2836">
            <v>0</v>
          </cell>
          <cell r="F2836"/>
        </row>
        <row r="2837">
          <cell r="C2837">
            <v>0</v>
          </cell>
          <cell r="F2837"/>
        </row>
        <row r="2838">
          <cell r="C2838">
            <v>0</v>
          </cell>
          <cell r="F2838"/>
        </row>
        <row r="2839">
          <cell r="C2839">
            <v>0</v>
          </cell>
          <cell r="F2839"/>
        </row>
        <row r="2840">
          <cell r="C2840">
            <v>0</v>
          </cell>
          <cell r="F2840"/>
        </row>
        <row r="2841">
          <cell r="C2841">
            <v>0</v>
          </cell>
          <cell r="F2841"/>
        </row>
        <row r="2842">
          <cell r="C2842">
            <v>0</v>
          </cell>
          <cell r="F2842"/>
        </row>
        <row r="2843">
          <cell r="C2843">
            <v>0</v>
          </cell>
          <cell r="F2843"/>
        </row>
        <row r="2844">
          <cell r="C2844">
            <v>0</v>
          </cell>
          <cell r="F2844"/>
        </row>
        <row r="2845">
          <cell r="C2845">
            <v>0</v>
          </cell>
          <cell r="F2845"/>
        </row>
        <row r="2846">
          <cell r="C2846">
            <v>0</v>
          </cell>
          <cell r="F2846"/>
        </row>
        <row r="2847">
          <cell r="C2847">
            <v>0</v>
          </cell>
          <cell r="F2847"/>
        </row>
        <row r="2848">
          <cell r="C2848">
            <v>0</v>
          </cell>
          <cell r="F2848"/>
        </row>
        <row r="2849">
          <cell r="C2849">
            <v>0</v>
          </cell>
          <cell r="F2849"/>
        </row>
        <row r="2850">
          <cell r="C2850">
            <v>0</v>
          </cell>
          <cell r="F2850"/>
        </row>
        <row r="2851">
          <cell r="C2851">
            <v>0</v>
          </cell>
          <cell r="F2851"/>
        </row>
        <row r="2852">
          <cell r="C2852">
            <v>0</v>
          </cell>
          <cell r="F2852"/>
        </row>
        <row r="2853">
          <cell r="C2853">
            <v>0</v>
          </cell>
          <cell r="F2853"/>
        </row>
        <row r="2854">
          <cell r="C2854">
            <v>0</v>
          </cell>
          <cell r="F2854"/>
        </row>
        <row r="2855">
          <cell r="C2855">
            <v>0</v>
          </cell>
          <cell r="F2855"/>
        </row>
        <row r="2856">
          <cell r="C2856">
            <v>0</v>
          </cell>
          <cell r="F2856"/>
        </row>
        <row r="2857">
          <cell r="C2857">
            <v>0</v>
          </cell>
          <cell r="F2857"/>
        </row>
        <row r="2858">
          <cell r="C2858">
            <v>0</v>
          </cell>
          <cell r="F2858"/>
        </row>
        <row r="2859">
          <cell r="C2859">
            <v>0</v>
          </cell>
          <cell r="F2859"/>
        </row>
        <row r="2860">
          <cell r="C2860">
            <v>0</v>
          </cell>
          <cell r="F2860"/>
        </row>
        <row r="2861">
          <cell r="C2861">
            <v>0</v>
          </cell>
          <cell r="F2861"/>
        </row>
        <row r="2862">
          <cell r="C2862">
            <v>0</v>
          </cell>
          <cell r="F2862"/>
        </row>
        <row r="2863">
          <cell r="C2863">
            <v>0</v>
          </cell>
          <cell r="F2863"/>
        </row>
        <row r="2864">
          <cell r="C2864">
            <v>0</v>
          </cell>
          <cell r="F2864"/>
        </row>
        <row r="2865">
          <cell r="C2865">
            <v>0</v>
          </cell>
          <cell r="F2865"/>
        </row>
        <row r="2866">
          <cell r="C2866">
            <v>0</v>
          </cell>
          <cell r="F2866"/>
        </row>
        <row r="2867">
          <cell r="C2867">
            <v>0</v>
          </cell>
          <cell r="F2867"/>
        </row>
        <row r="2868">
          <cell r="C2868">
            <v>0</v>
          </cell>
          <cell r="F2868"/>
        </row>
        <row r="2869">
          <cell r="C2869">
            <v>0</v>
          </cell>
          <cell r="F2869"/>
        </row>
        <row r="2870">
          <cell r="C2870">
            <v>0</v>
          </cell>
          <cell r="F2870"/>
        </row>
        <row r="2871">
          <cell r="C2871">
            <v>0</v>
          </cell>
          <cell r="F2871"/>
        </row>
        <row r="2872">
          <cell r="C2872">
            <v>0</v>
          </cell>
          <cell r="F2872"/>
        </row>
        <row r="2873">
          <cell r="C2873">
            <v>0</v>
          </cell>
          <cell r="F2873"/>
        </row>
        <row r="2874">
          <cell r="C2874">
            <v>0</v>
          </cell>
          <cell r="F2874"/>
        </row>
        <row r="2875">
          <cell r="C2875">
            <v>0</v>
          </cell>
          <cell r="F2875"/>
        </row>
        <row r="2876">
          <cell r="C2876">
            <v>0</v>
          </cell>
          <cell r="F2876"/>
        </row>
        <row r="2877">
          <cell r="C2877">
            <v>0</v>
          </cell>
          <cell r="F2877"/>
        </row>
        <row r="2878">
          <cell r="C2878">
            <v>0</v>
          </cell>
          <cell r="F2878"/>
        </row>
        <row r="2879">
          <cell r="C2879">
            <v>0</v>
          </cell>
          <cell r="F2879"/>
        </row>
        <row r="2880">
          <cell r="C2880">
            <v>0</v>
          </cell>
          <cell r="F2880"/>
        </row>
        <row r="2881">
          <cell r="C2881">
            <v>0</v>
          </cell>
          <cell r="F2881"/>
        </row>
        <row r="2882">
          <cell r="C2882">
            <v>0</v>
          </cell>
          <cell r="F2882"/>
        </row>
        <row r="2883">
          <cell r="C2883">
            <v>0</v>
          </cell>
          <cell r="F2883"/>
        </row>
        <row r="2884">
          <cell r="C2884">
            <v>0</v>
          </cell>
          <cell r="F2884"/>
        </row>
        <row r="2885">
          <cell r="C2885">
            <v>0</v>
          </cell>
          <cell r="F2885"/>
        </row>
        <row r="2886">
          <cell r="C2886">
            <v>0</v>
          </cell>
          <cell r="F2886"/>
        </row>
        <row r="2887">
          <cell r="C2887">
            <v>0</v>
          </cell>
          <cell r="F2887"/>
        </row>
        <row r="2888">
          <cell r="C2888">
            <v>0</v>
          </cell>
          <cell r="F2888"/>
        </row>
        <row r="2889">
          <cell r="C2889">
            <v>0</v>
          </cell>
          <cell r="F2889"/>
        </row>
        <row r="2890">
          <cell r="C2890">
            <v>0</v>
          </cell>
          <cell r="F2890"/>
        </row>
        <row r="2891">
          <cell r="C2891">
            <v>0</v>
          </cell>
          <cell r="F2891"/>
        </row>
        <row r="2892">
          <cell r="C2892">
            <v>0</v>
          </cell>
          <cell r="F2892"/>
        </row>
        <row r="2893">
          <cell r="C2893">
            <v>0</v>
          </cell>
          <cell r="F2893"/>
        </row>
        <row r="2894">
          <cell r="C2894">
            <v>0</v>
          </cell>
          <cell r="F2894"/>
        </row>
        <row r="2895">
          <cell r="C2895">
            <v>0</v>
          </cell>
          <cell r="F2895"/>
        </row>
        <row r="2896">
          <cell r="C2896">
            <v>0</v>
          </cell>
          <cell r="F2896"/>
        </row>
        <row r="2897">
          <cell r="C2897">
            <v>0</v>
          </cell>
          <cell r="F2897"/>
        </row>
        <row r="2898">
          <cell r="C2898">
            <v>0</v>
          </cell>
          <cell r="F2898"/>
        </row>
        <row r="2899">
          <cell r="C2899">
            <v>0</v>
          </cell>
          <cell r="F2899"/>
        </row>
        <row r="2900">
          <cell r="C2900">
            <v>0</v>
          </cell>
          <cell r="F2900"/>
        </row>
        <row r="2901">
          <cell r="C2901">
            <v>0</v>
          </cell>
          <cell r="F2901"/>
        </row>
        <row r="2902">
          <cell r="C2902">
            <v>0</v>
          </cell>
          <cell r="F2902"/>
        </row>
        <row r="2903">
          <cell r="C2903">
            <v>0</v>
          </cell>
          <cell r="F2903"/>
        </row>
        <row r="2904">
          <cell r="C2904">
            <v>0</v>
          </cell>
          <cell r="F2904"/>
        </row>
        <row r="2905">
          <cell r="C2905">
            <v>0</v>
          </cell>
          <cell r="F2905"/>
        </row>
        <row r="2906">
          <cell r="C2906">
            <v>0</v>
          </cell>
          <cell r="F2906"/>
        </row>
        <row r="2907">
          <cell r="C2907">
            <v>0</v>
          </cell>
          <cell r="F2907"/>
        </row>
        <row r="2908">
          <cell r="C2908">
            <v>0</v>
          </cell>
          <cell r="F2908"/>
        </row>
        <row r="2909">
          <cell r="C2909">
            <v>0</v>
          </cell>
          <cell r="F2909"/>
        </row>
        <row r="2910">
          <cell r="C2910">
            <v>0</v>
          </cell>
          <cell r="F2910"/>
        </row>
        <row r="2911">
          <cell r="C2911">
            <v>0</v>
          </cell>
          <cell r="F2911"/>
        </row>
        <row r="2912">
          <cell r="C2912">
            <v>0</v>
          </cell>
          <cell r="F2912"/>
        </row>
        <row r="2913">
          <cell r="C2913">
            <v>0</v>
          </cell>
          <cell r="F2913"/>
        </row>
        <row r="2914">
          <cell r="C2914">
            <v>0</v>
          </cell>
          <cell r="F2914"/>
        </row>
        <row r="2915">
          <cell r="C2915">
            <v>0</v>
          </cell>
          <cell r="F2915"/>
        </row>
        <row r="2916">
          <cell r="C2916">
            <v>0</v>
          </cell>
          <cell r="F2916"/>
        </row>
        <row r="2917">
          <cell r="C2917">
            <v>0</v>
          </cell>
          <cell r="F2917"/>
        </row>
        <row r="2918">
          <cell r="C2918">
            <v>0</v>
          </cell>
          <cell r="F2918"/>
        </row>
        <row r="2919">
          <cell r="C2919">
            <v>0</v>
          </cell>
          <cell r="F2919"/>
        </row>
        <row r="2920">
          <cell r="C2920">
            <v>0</v>
          </cell>
          <cell r="F2920"/>
        </row>
        <row r="2921">
          <cell r="C2921">
            <v>0</v>
          </cell>
          <cell r="F2921"/>
        </row>
        <row r="2922">
          <cell r="C2922">
            <v>0</v>
          </cell>
          <cell r="F2922"/>
        </row>
        <row r="2923">
          <cell r="C2923">
            <v>0</v>
          </cell>
          <cell r="F2923"/>
        </row>
        <row r="2924">
          <cell r="C2924">
            <v>0</v>
          </cell>
          <cell r="F2924"/>
        </row>
        <row r="2925">
          <cell r="C2925">
            <v>0</v>
          </cell>
          <cell r="F2925"/>
        </row>
        <row r="2926">
          <cell r="C2926">
            <v>0</v>
          </cell>
          <cell r="F2926"/>
        </row>
        <row r="2927">
          <cell r="C2927">
            <v>0</v>
          </cell>
          <cell r="F2927"/>
        </row>
        <row r="2928">
          <cell r="C2928">
            <v>0</v>
          </cell>
          <cell r="F2928"/>
        </row>
        <row r="2929">
          <cell r="C2929">
            <v>0</v>
          </cell>
          <cell r="F2929"/>
        </row>
        <row r="2930">
          <cell r="C2930">
            <v>0</v>
          </cell>
          <cell r="F2930"/>
        </row>
        <row r="2931">
          <cell r="C2931">
            <v>0</v>
          </cell>
          <cell r="F2931"/>
        </row>
        <row r="2932">
          <cell r="C2932">
            <v>0</v>
          </cell>
          <cell r="F2932"/>
        </row>
        <row r="2933">
          <cell r="C2933">
            <v>0</v>
          </cell>
          <cell r="F2933"/>
        </row>
        <row r="2934">
          <cell r="C2934">
            <v>0</v>
          </cell>
          <cell r="F2934"/>
        </row>
        <row r="2935">
          <cell r="C2935">
            <v>0</v>
          </cell>
          <cell r="F2935"/>
        </row>
        <row r="2936">
          <cell r="C2936">
            <v>0</v>
          </cell>
          <cell r="F2936"/>
        </row>
        <row r="2937">
          <cell r="C2937">
            <v>0</v>
          </cell>
          <cell r="F2937"/>
        </row>
        <row r="2938">
          <cell r="C2938">
            <v>0</v>
          </cell>
          <cell r="F2938"/>
        </row>
        <row r="2939">
          <cell r="C2939">
            <v>0</v>
          </cell>
          <cell r="F2939"/>
        </row>
        <row r="2940">
          <cell r="C2940">
            <v>0</v>
          </cell>
          <cell r="F2940"/>
        </row>
        <row r="2941">
          <cell r="C2941">
            <v>0</v>
          </cell>
          <cell r="F2941"/>
        </row>
        <row r="2942">
          <cell r="C2942">
            <v>0</v>
          </cell>
          <cell r="F2942"/>
        </row>
        <row r="2943">
          <cell r="C2943">
            <v>0</v>
          </cell>
          <cell r="F2943"/>
        </row>
        <row r="2944">
          <cell r="C2944">
            <v>0</v>
          </cell>
          <cell r="F2944"/>
        </row>
        <row r="2945">
          <cell r="C2945">
            <v>0</v>
          </cell>
          <cell r="F2945"/>
        </row>
        <row r="2946">
          <cell r="C2946">
            <v>0</v>
          </cell>
          <cell r="F2946"/>
        </row>
        <row r="2947">
          <cell r="C2947">
            <v>0</v>
          </cell>
          <cell r="F2947"/>
        </row>
        <row r="2948">
          <cell r="C2948">
            <v>0</v>
          </cell>
          <cell r="F2948"/>
        </row>
        <row r="2949">
          <cell r="C2949">
            <v>0</v>
          </cell>
          <cell r="F2949"/>
        </row>
        <row r="2950">
          <cell r="C2950">
            <v>0</v>
          </cell>
          <cell r="F2950"/>
        </row>
        <row r="2951">
          <cell r="C2951">
            <v>0</v>
          </cell>
          <cell r="F2951"/>
        </row>
        <row r="2952">
          <cell r="C2952">
            <v>0</v>
          </cell>
          <cell r="F2952"/>
        </row>
        <row r="2953">
          <cell r="C2953">
            <v>0</v>
          </cell>
          <cell r="F2953"/>
        </row>
        <row r="2954">
          <cell r="C2954">
            <v>0</v>
          </cell>
          <cell r="F2954"/>
        </row>
        <row r="2955">
          <cell r="C2955">
            <v>0</v>
          </cell>
          <cell r="F2955"/>
        </row>
        <row r="2956">
          <cell r="C2956">
            <v>0</v>
          </cell>
          <cell r="F2956"/>
        </row>
        <row r="2957">
          <cell r="C2957">
            <v>0</v>
          </cell>
          <cell r="F2957"/>
        </row>
        <row r="2958">
          <cell r="C2958">
            <v>0</v>
          </cell>
          <cell r="F2958"/>
        </row>
        <row r="2959">
          <cell r="C2959">
            <v>0</v>
          </cell>
          <cell r="F2959"/>
        </row>
        <row r="2960">
          <cell r="C2960">
            <v>0</v>
          </cell>
          <cell r="F2960"/>
        </row>
        <row r="2961">
          <cell r="C2961">
            <v>0</v>
          </cell>
          <cell r="F2961"/>
        </row>
        <row r="2962">
          <cell r="C2962">
            <v>0</v>
          </cell>
          <cell r="F2962"/>
        </row>
        <row r="2963">
          <cell r="C2963">
            <v>0</v>
          </cell>
          <cell r="F2963"/>
        </row>
        <row r="2964">
          <cell r="C2964">
            <v>0</v>
          </cell>
          <cell r="F2964"/>
        </row>
        <row r="2965">
          <cell r="C2965">
            <v>0</v>
          </cell>
          <cell r="F2965"/>
        </row>
        <row r="2966">
          <cell r="C2966">
            <v>0</v>
          </cell>
          <cell r="F2966"/>
        </row>
        <row r="2967">
          <cell r="C2967">
            <v>0</v>
          </cell>
          <cell r="F2967"/>
        </row>
        <row r="2968">
          <cell r="C2968">
            <v>0</v>
          </cell>
          <cell r="F2968"/>
        </row>
        <row r="2969">
          <cell r="C2969">
            <v>0</v>
          </cell>
          <cell r="F2969"/>
        </row>
        <row r="2970">
          <cell r="C2970">
            <v>0</v>
          </cell>
          <cell r="F2970"/>
        </row>
        <row r="2971">
          <cell r="C2971">
            <v>0</v>
          </cell>
          <cell r="F2971"/>
        </row>
        <row r="2972">
          <cell r="C2972">
            <v>0</v>
          </cell>
          <cell r="F2972"/>
        </row>
        <row r="2973">
          <cell r="C2973">
            <v>0</v>
          </cell>
          <cell r="F2973"/>
        </row>
        <row r="2974">
          <cell r="C2974">
            <v>0</v>
          </cell>
          <cell r="F2974"/>
        </row>
        <row r="2975">
          <cell r="C2975">
            <v>0</v>
          </cell>
          <cell r="F2975"/>
        </row>
        <row r="2976">
          <cell r="C2976">
            <v>0</v>
          </cell>
          <cell r="F2976"/>
        </row>
        <row r="2977">
          <cell r="C2977">
            <v>0</v>
          </cell>
          <cell r="F2977"/>
        </row>
        <row r="2978">
          <cell r="C2978">
            <v>0</v>
          </cell>
          <cell r="F2978"/>
        </row>
        <row r="2979">
          <cell r="C2979">
            <v>0</v>
          </cell>
          <cell r="F2979"/>
        </row>
        <row r="2980">
          <cell r="C2980">
            <v>0</v>
          </cell>
          <cell r="F2980"/>
        </row>
        <row r="2981">
          <cell r="C2981">
            <v>0</v>
          </cell>
          <cell r="F2981"/>
        </row>
        <row r="2982">
          <cell r="C2982">
            <v>0</v>
          </cell>
          <cell r="F2982"/>
        </row>
        <row r="2983">
          <cell r="C2983">
            <v>0</v>
          </cell>
          <cell r="F2983"/>
        </row>
        <row r="2984">
          <cell r="C2984">
            <v>0</v>
          </cell>
          <cell r="F2984"/>
        </row>
        <row r="2985">
          <cell r="C2985">
            <v>0</v>
          </cell>
          <cell r="F2985"/>
        </row>
        <row r="2986">
          <cell r="C2986">
            <v>0</v>
          </cell>
          <cell r="F2986"/>
        </row>
        <row r="2987">
          <cell r="C2987">
            <v>0</v>
          </cell>
          <cell r="F2987"/>
        </row>
        <row r="2988">
          <cell r="C2988">
            <v>0</v>
          </cell>
          <cell r="F2988"/>
        </row>
        <row r="2989">
          <cell r="C2989">
            <v>0</v>
          </cell>
          <cell r="F2989"/>
        </row>
        <row r="2990">
          <cell r="C2990">
            <v>0</v>
          </cell>
          <cell r="F2990"/>
        </row>
        <row r="2991">
          <cell r="C2991">
            <v>0</v>
          </cell>
          <cell r="F2991"/>
        </row>
        <row r="2992">
          <cell r="C2992">
            <v>0</v>
          </cell>
          <cell r="F2992"/>
        </row>
        <row r="2993">
          <cell r="C2993">
            <v>0</v>
          </cell>
          <cell r="F2993"/>
        </row>
        <row r="2994">
          <cell r="C2994">
            <v>0</v>
          </cell>
          <cell r="F2994"/>
        </row>
        <row r="2995">
          <cell r="C2995">
            <v>0</v>
          </cell>
          <cell r="F2995"/>
        </row>
        <row r="2996">
          <cell r="C2996">
            <v>0</v>
          </cell>
          <cell r="F2996"/>
        </row>
        <row r="2997">
          <cell r="C2997">
            <v>0</v>
          </cell>
          <cell r="F2997"/>
        </row>
        <row r="2998">
          <cell r="C2998">
            <v>0</v>
          </cell>
          <cell r="F2998"/>
        </row>
        <row r="2999">
          <cell r="C2999">
            <v>0</v>
          </cell>
          <cell r="F2999"/>
        </row>
        <row r="3000">
          <cell r="C3000">
            <v>0</v>
          </cell>
          <cell r="F3000"/>
        </row>
        <row r="3001">
          <cell r="C3001">
            <v>0</v>
          </cell>
          <cell r="F3001"/>
        </row>
        <row r="3002">
          <cell r="C3002">
            <v>0</v>
          </cell>
          <cell r="F3002"/>
        </row>
        <row r="3003">
          <cell r="C3003">
            <v>0</v>
          </cell>
          <cell r="F3003"/>
        </row>
        <row r="3004">
          <cell r="C3004">
            <v>0</v>
          </cell>
        </row>
        <row r="3005">
          <cell r="C3005">
            <v>0</v>
          </cell>
        </row>
        <row r="3006">
          <cell r="C3006">
            <v>0</v>
          </cell>
        </row>
        <row r="3007">
          <cell r="C3007">
            <v>0</v>
          </cell>
        </row>
        <row r="3008">
          <cell r="C3008">
            <v>0</v>
          </cell>
        </row>
        <row r="3009">
          <cell r="C3009">
            <v>0</v>
          </cell>
        </row>
        <row r="3010">
          <cell r="C3010">
            <v>0</v>
          </cell>
        </row>
        <row r="3011">
          <cell r="C3011">
            <v>0</v>
          </cell>
        </row>
        <row r="3012">
          <cell r="C3012">
            <v>0</v>
          </cell>
        </row>
        <row r="3013">
          <cell r="C3013">
            <v>0</v>
          </cell>
        </row>
        <row r="3014">
          <cell r="C3014">
            <v>0</v>
          </cell>
        </row>
        <row r="3015">
          <cell r="C3015">
            <v>0</v>
          </cell>
        </row>
        <row r="3016">
          <cell r="C3016">
            <v>0</v>
          </cell>
        </row>
        <row r="3017">
          <cell r="C3017">
            <v>0</v>
          </cell>
        </row>
        <row r="3018">
          <cell r="C3018">
            <v>0</v>
          </cell>
        </row>
        <row r="3019">
          <cell r="C3019">
            <v>0</v>
          </cell>
        </row>
        <row r="3020">
          <cell r="C3020">
            <v>0</v>
          </cell>
        </row>
        <row r="3021">
          <cell r="C3021">
            <v>0</v>
          </cell>
        </row>
        <row r="3022">
          <cell r="C3022">
            <v>0</v>
          </cell>
        </row>
        <row r="3023">
          <cell r="C3023">
            <v>0</v>
          </cell>
        </row>
        <row r="3024">
          <cell r="C3024">
            <v>0</v>
          </cell>
        </row>
        <row r="3025">
          <cell r="C3025">
            <v>0</v>
          </cell>
        </row>
        <row r="3026">
          <cell r="C3026">
            <v>0</v>
          </cell>
        </row>
        <row r="3027">
          <cell r="C3027">
            <v>0</v>
          </cell>
        </row>
        <row r="3028">
          <cell r="C3028">
            <v>0</v>
          </cell>
        </row>
        <row r="3029">
          <cell r="C3029">
            <v>0</v>
          </cell>
        </row>
        <row r="3030">
          <cell r="C3030">
            <v>0</v>
          </cell>
        </row>
        <row r="3031">
          <cell r="C3031">
            <v>0</v>
          </cell>
        </row>
        <row r="3032">
          <cell r="C3032">
            <v>0</v>
          </cell>
        </row>
        <row r="3033">
          <cell r="C3033">
            <v>0</v>
          </cell>
        </row>
        <row r="3034">
          <cell r="C3034">
            <v>0</v>
          </cell>
        </row>
        <row r="3035">
          <cell r="C3035">
            <v>0</v>
          </cell>
        </row>
        <row r="3036">
          <cell r="C3036">
            <v>0</v>
          </cell>
        </row>
        <row r="3037">
          <cell r="C3037">
            <v>0</v>
          </cell>
        </row>
        <row r="3038">
          <cell r="C3038">
            <v>0</v>
          </cell>
        </row>
        <row r="3039">
          <cell r="C3039">
            <v>0</v>
          </cell>
        </row>
        <row r="3040">
          <cell r="C3040">
            <v>0</v>
          </cell>
        </row>
        <row r="3041">
          <cell r="C3041">
            <v>0</v>
          </cell>
        </row>
        <row r="3042">
          <cell r="C3042">
            <v>0</v>
          </cell>
        </row>
        <row r="3043">
          <cell r="C3043">
            <v>0</v>
          </cell>
        </row>
        <row r="3044">
          <cell r="C3044">
            <v>0</v>
          </cell>
        </row>
        <row r="3045">
          <cell r="C3045">
            <v>0</v>
          </cell>
        </row>
        <row r="3046">
          <cell r="C3046">
            <v>0</v>
          </cell>
        </row>
        <row r="3047">
          <cell r="C3047">
            <v>0</v>
          </cell>
        </row>
        <row r="3048">
          <cell r="C3048">
            <v>0</v>
          </cell>
        </row>
        <row r="3049">
          <cell r="C3049">
            <v>0</v>
          </cell>
        </row>
        <row r="3050">
          <cell r="C3050">
            <v>0</v>
          </cell>
        </row>
        <row r="3051">
          <cell r="C3051">
            <v>0</v>
          </cell>
        </row>
        <row r="3052">
          <cell r="C3052">
            <v>0</v>
          </cell>
        </row>
        <row r="3053">
          <cell r="C3053">
            <v>0</v>
          </cell>
        </row>
        <row r="3054">
          <cell r="C3054">
            <v>0</v>
          </cell>
        </row>
        <row r="3055">
          <cell r="C3055">
            <v>0</v>
          </cell>
        </row>
        <row r="3056">
          <cell r="C3056">
            <v>0</v>
          </cell>
        </row>
        <row r="3057">
          <cell r="C3057">
            <v>0</v>
          </cell>
        </row>
        <row r="3058">
          <cell r="C3058">
            <v>0</v>
          </cell>
        </row>
        <row r="3059">
          <cell r="C3059">
            <v>0</v>
          </cell>
        </row>
        <row r="3060">
          <cell r="C3060">
            <v>0</v>
          </cell>
        </row>
        <row r="3061">
          <cell r="C3061">
            <v>0</v>
          </cell>
          <cell r="G3061" t="str">
            <v>rrrrr</v>
          </cell>
        </row>
        <row r="3062">
          <cell r="C3062">
            <v>0</v>
          </cell>
        </row>
        <row r="3063">
          <cell r="C3063">
            <v>0</v>
          </cell>
        </row>
        <row r="3064">
          <cell r="C3064">
            <v>0</v>
          </cell>
        </row>
        <row r="3065">
          <cell r="C3065">
            <v>0</v>
          </cell>
        </row>
        <row r="3066">
          <cell r="C3066">
            <v>0</v>
          </cell>
        </row>
        <row r="3067">
          <cell r="C3067">
            <v>0</v>
          </cell>
        </row>
        <row r="3068">
          <cell r="C3068">
            <v>0</v>
          </cell>
        </row>
        <row r="3069">
          <cell r="C3069">
            <v>0</v>
          </cell>
        </row>
        <row r="3070">
          <cell r="C3070">
            <v>0</v>
          </cell>
        </row>
        <row r="3071">
          <cell r="C3071">
            <v>0</v>
          </cell>
        </row>
        <row r="3072">
          <cell r="C3072">
            <v>0</v>
          </cell>
        </row>
        <row r="3073">
          <cell r="C3073">
            <v>0</v>
          </cell>
        </row>
        <row r="3074">
          <cell r="C3074">
            <v>0</v>
          </cell>
        </row>
        <row r="3075">
          <cell r="C3075">
            <v>0</v>
          </cell>
        </row>
        <row r="3076">
          <cell r="C3076">
            <v>0</v>
          </cell>
        </row>
        <row r="3077">
          <cell r="C3077">
            <v>0</v>
          </cell>
        </row>
        <row r="3078">
          <cell r="C3078">
            <v>0</v>
          </cell>
        </row>
        <row r="3079">
          <cell r="C3079">
            <v>0</v>
          </cell>
        </row>
        <row r="3080">
          <cell r="C3080">
            <v>0</v>
          </cell>
        </row>
        <row r="3081">
          <cell r="C3081">
            <v>0</v>
          </cell>
        </row>
        <row r="3082">
          <cell r="C3082">
            <v>0</v>
          </cell>
        </row>
        <row r="3083">
          <cell r="C3083">
            <v>0</v>
          </cell>
        </row>
        <row r="3084">
          <cell r="C3084">
            <v>0</v>
          </cell>
        </row>
        <row r="3085">
          <cell r="C3085">
            <v>0</v>
          </cell>
        </row>
        <row r="3086">
          <cell r="C3086">
            <v>0</v>
          </cell>
        </row>
        <row r="3087">
          <cell r="C3087">
            <v>0</v>
          </cell>
        </row>
        <row r="3088">
          <cell r="C3088">
            <v>0</v>
          </cell>
        </row>
        <row r="3089">
          <cell r="C3089">
            <v>0</v>
          </cell>
        </row>
        <row r="3090">
          <cell r="C3090">
            <v>0</v>
          </cell>
        </row>
        <row r="3091">
          <cell r="C3091">
            <v>0</v>
          </cell>
        </row>
        <row r="3092">
          <cell r="C3092">
            <v>0</v>
          </cell>
        </row>
        <row r="3093">
          <cell r="C3093">
            <v>0</v>
          </cell>
        </row>
        <row r="3094">
          <cell r="C3094">
            <v>0</v>
          </cell>
        </row>
        <row r="3095">
          <cell r="C3095">
            <v>0</v>
          </cell>
        </row>
        <row r="3096">
          <cell r="C3096">
            <v>0</v>
          </cell>
        </row>
        <row r="3097">
          <cell r="C3097">
            <v>0</v>
          </cell>
        </row>
        <row r="3098">
          <cell r="C3098">
            <v>0</v>
          </cell>
        </row>
        <row r="3099">
          <cell r="C3099">
            <v>0</v>
          </cell>
        </row>
        <row r="3100">
          <cell r="C3100">
            <v>0</v>
          </cell>
        </row>
        <row r="3101">
          <cell r="C3101">
            <v>0</v>
          </cell>
        </row>
        <row r="3102">
          <cell r="E3102" t="str">
            <v xml:space="preserve"> </v>
          </cell>
          <cell r="G3102"/>
          <cell r="H3102"/>
          <cell r="I3102"/>
          <cell r="J3102" t="str">
            <v>CAFFE</v>
          </cell>
        </row>
        <row r="3103">
          <cell r="B3103">
            <v>8166</v>
          </cell>
          <cell r="C3103" t="str">
            <v>COFFEE TECH S.N.C DI DONA' GIULIA &amp; C.</v>
          </cell>
          <cell r="G3103" t="str">
            <v>ISPRA</v>
          </cell>
          <cell r="H3103" t="str">
            <v>VB</v>
          </cell>
          <cell r="J3103" t="str">
            <v>375-5299699</v>
          </cell>
        </row>
      </sheetData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64E04-4549-4719-BF14-1CA6C09A7850}">
  <sheetPr codeName="Foglio1">
    <pageSetUpPr fitToPage="1"/>
  </sheetPr>
  <dimension ref="B1:R38"/>
  <sheetViews>
    <sheetView tabSelected="1" view="pageBreakPreview" zoomScale="90" zoomScaleNormal="100" zoomScaleSheetLayoutView="90" workbookViewId="0">
      <selection activeCell="C14" sqref="C14"/>
    </sheetView>
  </sheetViews>
  <sheetFormatPr defaultRowHeight="15" x14ac:dyDescent="0.25"/>
  <cols>
    <col min="1" max="1" width="3.7109375" customWidth="1"/>
    <col min="2" max="2" width="6.42578125" customWidth="1"/>
    <col min="12" max="12" width="6.42578125" customWidth="1"/>
    <col min="19" max="19" width="3.7109375" customWidth="1"/>
  </cols>
  <sheetData>
    <row r="1" spans="2:18" ht="15.75" thickBot="1" x14ac:dyDescent="0.3"/>
    <row r="2" spans="2:18" ht="43.5" customHeight="1" thickBot="1" x14ac:dyDescent="0.3">
      <c r="B2" s="103" t="s">
        <v>0</v>
      </c>
      <c r="C2" s="104"/>
      <c r="D2" s="104"/>
      <c r="E2" s="104"/>
      <c r="F2" s="104"/>
      <c r="G2" s="104"/>
      <c r="H2" s="104"/>
      <c r="I2" s="104"/>
      <c r="J2" s="104"/>
      <c r="K2" s="104"/>
      <c r="L2" s="105"/>
      <c r="M2" s="22" t="s">
        <v>14</v>
      </c>
      <c r="N2" s="23"/>
      <c r="O2" s="24">
        <f ca="1">TODAY()</f>
        <v>45546</v>
      </c>
      <c r="P2" s="25"/>
      <c r="Q2" s="25"/>
      <c r="R2" s="26"/>
    </row>
    <row r="3" spans="2:18" ht="15.75" thickBot="1" x14ac:dyDescent="0.3"/>
    <row r="4" spans="2:18" ht="15" customHeight="1" x14ac:dyDescent="0.25">
      <c r="B4" s="109" t="s">
        <v>1</v>
      </c>
      <c r="C4" s="68"/>
      <c r="D4" s="69"/>
      <c r="E4" s="69"/>
      <c r="F4" s="69"/>
      <c r="G4" s="69"/>
      <c r="H4" s="70"/>
      <c r="I4" s="89" t="s">
        <v>44</v>
      </c>
      <c r="J4" s="90"/>
      <c r="L4" s="112" t="s">
        <v>2</v>
      </c>
      <c r="M4" s="57"/>
      <c r="N4" s="57"/>
      <c r="O4" s="57"/>
      <c r="P4" s="57"/>
      <c r="Q4" s="57"/>
      <c r="R4" s="58"/>
    </row>
    <row r="5" spans="2:18" ht="15.75" thickBot="1" x14ac:dyDescent="0.3">
      <c r="B5" s="110"/>
      <c r="C5" s="71"/>
      <c r="D5" s="72"/>
      <c r="E5" s="72"/>
      <c r="F5" s="72"/>
      <c r="G5" s="72"/>
      <c r="H5" s="73"/>
      <c r="I5" s="91"/>
      <c r="J5" s="92"/>
      <c r="L5" s="113"/>
      <c r="M5" s="59"/>
      <c r="N5" s="59"/>
      <c r="O5" s="59"/>
      <c r="P5" s="59"/>
      <c r="Q5" s="59"/>
      <c r="R5" s="60"/>
    </row>
    <row r="6" spans="2:18" x14ac:dyDescent="0.25">
      <c r="B6" s="110"/>
      <c r="C6" s="71"/>
      <c r="D6" s="72"/>
      <c r="E6" s="72"/>
      <c r="F6" s="72"/>
      <c r="G6" s="72"/>
      <c r="H6" s="73"/>
      <c r="I6" s="12">
        <v>0.33333333333333331</v>
      </c>
      <c r="J6" s="14">
        <v>0.47916666666666669</v>
      </c>
      <c r="L6" s="113"/>
      <c r="M6" s="59"/>
      <c r="N6" s="59"/>
      <c r="O6" s="59"/>
      <c r="P6" s="59"/>
      <c r="Q6" s="59"/>
      <c r="R6" s="60"/>
    </row>
    <row r="7" spans="2:18" ht="15.75" thickBot="1" x14ac:dyDescent="0.3">
      <c r="B7" s="110"/>
      <c r="C7" s="71"/>
      <c r="D7" s="72"/>
      <c r="E7" s="72"/>
      <c r="F7" s="72"/>
      <c r="G7" s="72"/>
      <c r="H7" s="73"/>
      <c r="I7" s="13">
        <v>0.54166666666666663</v>
      </c>
      <c r="J7" s="15">
        <v>0.66666666666666663</v>
      </c>
      <c r="L7" s="113"/>
      <c r="M7" s="59"/>
      <c r="N7" s="59"/>
      <c r="O7" s="59"/>
      <c r="P7" s="59"/>
      <c r="Q7" s="59"/>
      <c r="R7" s="60"/>
    </row>
    <row r="8" spans="2:18" x14ac:dyDescent="0.25">
      <c r="B8" s="110"/>
      <c r="C8" s="71"/>
      <c r="D8" s="72"/>
      <c r="E8" s="72"/>
      <c r="F8" s="72"/>
      <c r="G8" s="72"/>
      <c r="H8" s="73"/>
      <c r="I8" s="93" t="s">
        <v>45</v>
      </c>
      <c r="J8" s="94"/>
      <c r="L8" s="113"/>
      <c r="M8" s="59"/>
      <c r="N8" s="59"/>
      <c r="O8" s="59"/>
      <c r="P8" s="59"/>
      <c r="Q8" s="59"/>
      <c r="R8" s="60"/>
    </row>
    <row r="9" spans="2:18" ht="15.75" thickBot="1" x14ac:dyDescent="0.3">
      <c r="B9" s="110"/>
      <c r="C9" s="71"/>
      <c r="D9" s="72"/>
      <c r="E9" s="72"/>
      <c r="F9" s="72"/>
      <c r="G9" s="72"/>
      <c r="H9" s="73"/>
      <c r="I9" s="95"/>
      <c r="J9" s="96"/>
      <c r="L9" s="113"/>
      <c r="M9" s="59"/>
      <c r="N9" s="59"/>
      <c r="O9" s="59"/>
      <c r="P9" s="59"/>
      <c r="Q9" s="59"/>
      <c r="R9" s="60"/>
    </row>
    <row r="10" spans="2:18" ht="15.75" thickBot="1" x14ac:dyDescent="0.3">
      <c r="B10" s="110"/>
      <c r="C10" s="74"/>
      <c r="D10" s="75"/>
      <c r="E10" s="75"/>
      <c r="F10" s="75"/>
      <c r="G10" s="75"/>
      <c r="H10" s="76"/>
      <c r="I10" s="97"/>
      <c r="J10" s="98"/>
      <c r="L10" s="113"/>
      <c r="M10" s="59"/>
      <c r="N10" s="59"/>
      <c r="O10" s="59"/>
      <c r="P10" s="59"/>
      <c r="Q10" s="59"/>
      <c r="R10" s="60"/>
    </row>
    <row r="11" spans="2:18" ht="15.75" thickBot="1" x14ac:dyDescent="0.3">
      <c r="B11" s="111"/>
      <c r="C11" s="74" t="s">
        <v>3</v>
      </c>
      <c r="D11" s="75"/>
      <c r="E11" s="75"/>
      <c r="F11" s="75"/>
      <c r="G11" s="75"/>
      <c r="H11" s="75"/>
      <c r="I11" s="99"/>
      <c r="J11" s="100"/>
      <c r="L11" s="114"/>
      <c r="M11" s="61" t="s">
        <v>4</v>
      </c>
      <c r="N11" s="61"/>
      <c r="O11" s="61"/>
      <c r="P11" s="61"/>
      <c r="Q11" s="61"/>
      <c r="R11" s="62"/>
    </row>
    <row r="13" spans="2:18" ht="15.75" thickBot="1" x14ac:dyDescent="0.3"/>
    <row r="14" spans="2:18" ht="15" customHeight="1" x14ac:dyDescent="0.25">
      <c r="B14" s="106" t="s">
        <v>5</v>
      </c>
      <c r="C14" s="16"/>
      <c r="D14" s="86" t="s">
        <v>6</v>
      </c>
      <c r="E14" s="87"/>
      <c r="F14" s="87"/>
      <c r="G14" s="87"/>
      <c r="H14" s="87"/>
      <c r="I14" s="88"/>
      <c r="J14" s="6" t="s">
        <v>53</v>
      </c>
      <c r="L14" s="65" t="s">
        <v>15</v>
      </c>
      <c r="M14" s="31" t="s">
        <v>20</v>
      </c>
      <c r="N14" s="32"/>
      <c r="O14" s="33"/>
      <c r="P14" s="27"/>
      <c r="Q14" s="27"/>
      <c r="R14" s="28"/>
    </row>
    <row r="15" spans="2:18" ht="15.75" customHeight="1" thickBot="1" x14ac:dyDescent="0.3">
      <c r="B15" s="107"/>
      <c r="C15" s="77" t="str">
        <f>IFERROR(VLOOKUP(C14,'[1]ANAGRAFICA CLIENTI'!$B:$J,2,0),"")</f>
        <v/>
      </c>
      <c r="D15" s="78"/>
      <c r="E15" s="78"/>
      <c r="F15" s="78"/>
      <c r="G15" s="78"/>
      <c r="H15" s="78"/>
      <c r="I15" s="78"/>
      <c r="J15" s="83" t="str">
        <f>IFERROR(VLOOKUP(C14,'[1]ANAGRAFICA CLIENTI'!$B:$J,7,0),"")</f>
        <v/>
      </c>
      <c r="L15" s="66"/>
      <c r="M15" s="34"/>
      <c r="N15" s="35"/>
      <c r="O15" s="36"/>
      <c r="P15" s="29"/>
      <c r="Q15" s="29"/>
      <c r="R15" s="30"/>
    </row>
    <row r="16" spans="2:18" ht="15" customHeight="1" x14ac:dyDescent="0.25">
      <c r="B16" s="107"/>
      <c r="C16" s="79"/>
      <c r="D16" s="80"/>
      <c r="E16" s="80"/>
      <c r="F16" s="80"/>
      <c r="G16" s="80"/>
      <c r="H16" s="80"/>
      <c r="I16" s="80"/>
      <c r="J16" s="84"/>
      <c r="L16" s="66"/>
      <c r="M16" s="31" t="s">
        <v>34</v>
      </c>
      <c r="N16" s="32"/>
      <c r="O16" s="33"/>
      <c r="P16" s="27"/>
      <c r="Q16" s="27"/>
      <c r="R16" s="28"/>
    </row>
    <row r="17" spans="2:18" ht="15.75" customHeight="1" thickBot="1" x14ac:dyDescent="0.3">
      <c r="B17" s="107"/>
      <c r="C17" s="81"/>
      <c r="D17" s="82"/>
      <c r="E17" s="82"/>
      <c r="F17" s="82"/>
      <c r="G17" s="82"/>
      <c r="H17" s="82"/>
      <c r="I17" s="82"/>
      <c r="J17" s="85"/>
      <c r="L17" s="66"/>
      <c r="M17" s="34"/>
      <c r="N17" s="35"/>
      <c r="O17" s="36"/>
      <c r="P17" s="29"/>
      <c r="Q17" s="29"/>
      <c r="R17" s="30"/>
    </row>
    <row r="18" spans="2:18" ht="15.75" x14ac:dyDescent="0.25">
      <c r="B18" s="107"/>
      <c r="C18" s="129" t="s">
        <v>7</v>
      </c>
      <c r="D18" s="63"/>
      <c r="E18" s="63"/>
      <c r="F18" s="63"/>
      <c r="G18" s="2" t="s">
        <v>33</v>
      </c>
      <c r="H18" s="63" t="s">
        <v>32</v>
      </c>
      <c r="I18" s="63"/>
      <c r="J18" s="64"/>
      <c r="L18" s="66"/>
      <c r="M18" s="31" t="s">
        <v>38</v>
      </c>
      <c r="N18" s="32"/>
      <c r="O18" s="33"/>
      <c r="P18" s="27"/>
      <c r="Q18" s="27"/>
      <c r="R18" s="28"/>
    </row>
    <row r="19" spans="2:18" ht="15" customHeight="1" thickBot="1" x14ac:dyDescent="0.3">
      <c r="B19" s="107"/>
      <c r="C19" s="119" t="str">
        <f>IFERROR(VLOOKUP(C14,'[1]ANAGRAFICA CLIENTI'!$B:$J,4,0),"")</f>
        <v/>
      </c>
      <c r="D19" s="120"/>
      <c r="E19" s="120"/>
      <c r="F19" s="120"/>
      <c r="G19" s="123" t="str">
        <f>IFERROR(VLOOKUP(C14,'[1]ANAGRAFICA CLIENTI'!$B:$J,5,0),"")</f>
        <v/>
      </c>
      <c r="H19" s="125" t="str">
        <f>IFERROR(VLOOKUP(C14,'[1]ANAGRAFICA CLIENTI'!$B:$J,6,0),"")</f>
        <v/>
      </c>
      <c r="I19" s="125"/>
      <c r="J19" s="126"/>
      <c r="L19" s="66"/>
      <c r="M19" s="34"/>
      <c r="N19" s="35"/>
      <c r="O19" s="36"/>
      <c r="P19" s="29"/>
      <c r="Q19" s="29"/>
      <c r="R19" s="30"/>
    </row>
    <row r="20" spans="2:18" ht="15" customHeight="1" x14ac:dyDescent="0.25">
      <c r="B20" s="107"/>
      <c r="C20" s="121"/>
      <c r="D20" s="122"/>
      <c r="E20" s="122"/>
      <c r="F20" s="122"/>
      <c r="G20" s="124"/>
      <c r="H20" s="127"/>
      <c r="I20" s="127"/>
      <c r="J20" s="128"/>
      <c r="L20" s="66"/>
      <c r="M20" s="31" t="s">
        <v>39</v>
      </c>
      <c r="N20" s="32"/>
      <c r="O20" s="33"/>
      <c r="P20" s="27"/>
      <c r="Q20" s="27"/>
      <c r="R20" s="28"/>
    </row>
    <row r="21" spans="2:18" ht="16.5" thickBot="1" x14ac:dyDescent="0.3">
      <c r="B21" s="107"/>
      <c r="C21" s="115" t="s">
        <v>8</v>
      </c>
      <c r="D21" s="115"/>
      <c r="E21" s="115"/>
      <c r="F21" s="115"/>
      <c r="G21" s="115"/>
      <c r="H21" s="115"/>
      <c r="I21" s="115"/>
      <c r="J21" s="116"/>
      <c r="L21" s="66"/>
      <c r="M21" s="34"/>
      <c r="N21" s="35"/>
      <c r="O21" s="36"/>
      <c r="P21" s="29"/>
      <c r="Q21" s="29"/>
      <c r="R21" s="30"/>
    </row>
    <row r="22" spans="2:18" ht="15.75" customHeight="1" thickBot="1" x14ac:dyDescent="0.3">
      <c r="B22" s="108"/>
      <c r="C22" s="117" t="str">
        <f>IFERROR(VLOOKUP(C14,'[1]ANAGRAFICA CLIENTI'!$B:$J,9,0),"")</f>
        <v/>
      </c>
      <c r="D22" s="117"/>
      <c r="E22" s="117"/>
      <c r="F22" s="117"/>
      <c r="G22" s="117"/>
      <c r="H22" s="117"/>
      <c r="I22" s="117"/>
      <c r="J22" s="118"/>
      <c r="L22" s="66"/>
      <c r="M22" s="43" t="s">
        <v>40</v>
      </c>
      <c r="N22" s="44"/>
      <c r="O22" s="44"/>
      <c r="P22" s="52"/>
      <c r="Q22" s="27"/>
      <c r="R22" s="28"/>
    </row>
    <row r="23" spans="2:18" ht="15.75" customHeight="1" thickBot="1" x14ac:dyDescent="0.3">
      <c r="L23" s="66"/>
      <c r="M23" s="46"/>
      <c r="N23" s="47"/>
      <c r="O23" s="47"/>
      <c r="P23" s="53"/>
      <c r="Q23" s="54"/>
      <c r="R23" s="55"/>
    </row>
    <row r="24" spans="2:18" ht="16.5" thickBot="1" x14ac:dyDescent="0.3">
      <c r="B24" s="65" t="s">
        <v>9</v>
      </c>
      <c r="C24" s="101" t="s">
        <v>16</v>
      </c>
      <c r="D24" s="87"/>
      <c r="E24" s="87"/>
      <c r="F24" s="102"/>
      <c r="G24" s="101" t="s">
        <v>17</v>
      </c>
      <c r="H24" s="87"/>
      <c r="I24" s="87"/>
      <c r="J24" s="102"/>
      <c r="L24" s="66"/>
      <c r="M24" s="49"/>
      <c r="N24" s="50"/>
      <c r="O24" s="50"/>
      <c r="P24" s="56"/>
      <c r="Q24" s="29"/>
      <c r="R24" s="30"/>
    </row>
    <row r="25" spans="2:18" ht="15" customHeight="1" x14ac:dyDescent="0.25">
      <c r="B25" s="66"/>
      <c r="C25" s="7" t="s">
        <v>18</v>
      </c>
      <c r="D25" s="8" t="s">
        <v>19</v>
      </c>
      <c r="E25" s="10" t="s">
        <v>41</v>
      </c>
      <c r="F25" s="9" t="s">
        <v>20</v>
      </c>
      <c r="G25" s="7" t="s">
        <v>18</v>
      </c>
      <c r="H25" s="8" t="s">
        <v>19</v>
      </c>
      <c r="I25" s="10" t="str">
        <f>+E25</f>
        <v>ALTEZZA</v>
      </c>
      <c r="J25" s="9" t="s">
        <v>20</v>
      </c>
      <c r="L25" s="66"/>
      <c r="M25" s="43" t="s">
        <v>52</v>
      </c>
      <c r="N25" s="44"/>
      <c r="O25" s="45"/>
      <c r="P25" s="37"/>
      <c r="Q25" s="37"/>
      <c r="R25" s="38"/>
    </row>
    <row r="26" spans="2:18" ht="15.75" customHeight="1" thickBot="1" x14ac:dyDescent="0.3">
      <c r="B26" s="66"/>
      <c r="C26" s="17"/>
      <c r="D26" s="18"/>
      <c r="E26" s="19"/>
      <c r="F26" s="20"/>
      <c r="G26" s="17"/>
      <c r="H26" s="18"/>
      <c r="I26" s="19"/>
      <c r="J26" s="20"/>
      <c r="L26" s="66"/>
      <c r="M26" s="46"/>
      <c r="N26" s="47"/>
      <c r="O26" s="48"/>
      <c r="P26" s="39"/>
      <c r="Q26" s="39"/>
      <c r="R26" s="40"/>
    </row>
    <row r="27" spans="2:18" ht="16.5" customHeight="1" x14ac:dyDescent="0.25">
      <c r="B27" s="66"/>
      <c r="C27" s="101" t="s">
        <v>24</v>
      </c>
      <c r="D27" s="87"/>
      <c r="E27" s="87"/>
      <c r="F27" s="102"/>
      <c r="G27" s="101" t="s">
        <v>31</v>
      </c>
      <c r="H27" s="87"/>
      <c r="I27" s="87"/>
      <c r="J27" s="102"/>
      <c r="L27" s="66"/>
      <c r="M27" s="46"/>
      <c r="N27" s="47"/>
      <c r="O27" s="48"/>
      <c r="P27" s="39"/>
      <c r="Q27" s="39"/>
      <c r="R27" s="40"/>
    </row>
    <row r="28" spans="2:18" ht="15" customHeight="1" x14ac:dyDescent="0.25">
      <c r="B28" s="66"/>
      <c r="C28" s="7" t="s">
        <v>18</v>
      </c>
      <c r="D28" s="8" t="s">
        <v>19</v>
      </c>
      <c r="E28" s="10" t="str">
        <f>+E25</f>
        <v>ALTEZZA</v>
      </c>
      <c r="F28" s="9" t="s">
        <v>20</v>
      </c>
      <c r="G28" s="7" t="s">
        <v>18</v>
      </c>
      <c r="H28" s="8" t="s">
        <v>19</v>
      </c>
      <c r="I28" s="10" t="str">
        <f>+E25</f>
        <v>ALTEZZA</v>
      </c>
      <c r="J28" s="9" t="s">
        <v>20</v>
      </c>
      <c r="L28" s="66"/>
      <c r="M28" s="46"/>
      <c r="N28" s="47"/>
      <c r="O28" s="48"/>
      <c r="P28" s="39"/>
      <c r="Q28" s="39"/>
      <c r="R28" s="40"/>
    </row>
    <row r="29" spans="2:18" ht="15.75" customHeight="1" thickBot="1" x14ac:dyDescent="0.3">
      <c r="B29" s="66"/>
      <c r="C29" s="17"/>
      <c r="D29" s="18"/>
      <c r="E29" s="19"/>
      <c r="F29" s="20"/>
      <c r="G29" s="17"/>
      <c r="H29" s="18"/>
      <c r="I29" s="19"/>
      <c r="J29" s="20"/>
      <c r="L29" s="66"/>
      <c r="M29" s="46"/>
      <c r="N29" s="47"/>
      <c r="O29" s="48"/>
      <c r="P29" s="39"/>
      <c r="Q29" s="39"/>
      <c r="R29" s="40"/>
    </row>
    <row r="30" spans="2:18" ht="16.5" customHeight="1" x14ac:dyDescent="0.25">
      <c r="B30" s="66"/>
      <c r="C30" s="101" t="s">
        <v>25</v>
      </c>
      <c r="D30" s="87"/>
      <c r="E30" s="87"/>
      <c r="F30" s="102"/>
      <c r="G30" s="87" t="s">
        <v>30</v>
      </c>
      <c r="H30" s="87"/>
      <c r="I30" s="87"/>
      <c r="J30" s="102"/>
      <c r="L30" s="66"/>
      <c r="M30" s="46"/>
      <c r="N30" s="47"/>
      <c r="O30" s="48"/>
      <c r="P30" s="39"/>
      <c r="Q30" s="39"/>
      <c r="R30" s="40"/>
    </row>
    <row r="31" spans="2:18" ht="15" customHeight="1" x14ac:dyDescent="0.25">
      <c r="B31" s="66"/>
      <c r="C31" s="7" t="s">
        <v>18</v>
      </c>
      <c r="D31" s="8" t="s">
        <v>19</v>
      </c>
      <c r="E31" s="10" t="str">
        <f>+E25</f>
        <v>ALTEZZA</v>
      </c>
      <c r="F31" s="9" t="s">
        <v>20</v>
      </c>
      <c r="G31" s="7" t="s">
        <v>18</v>
      </c>
      <c r="H31" s="8" t="s">
        <v>19</v>
      </c>
      <c r="I31" s="10" t="str">
        <f>+E25</f>
        <v>ALTEZZA</v>
      </c>
      <c r="J31" s="9" t="s">
        <v>20</v>
      </c>
      <c r="L31" s="66"/>
      <c r="M31" s="46"/>
      <c r="N31" s="47"/>
      <c r="O31" s="48"/>
      <c r="P31" s="39"/>
      <c r="Q31" s="39"/>
      <c r="R31" s="40"/>
    </row>
    <row r="32" spans="2:18" ht="15.75" customHeight="1" thickBot="1" x14ac:dyDescent="0.3">
      <c r="B32" s="66"/>
      <c r="C32" s="17"/>
      <c r="D32" s="18"/>
      <c r="E32" s="19"/>
      <c r="F32" s="20"/>
      <c r="G32" s="17"/>
      <c r="H32" s="18"/>
      <c r="I32" s="19"/>
      <c r="J32" s="20"/>
      <c r="L32" s="66"/>
      <c r="M32" s="46"/>
      <c r="N32" s="47"/>
      <c r="O32" s="48"/>
      <c r="P32" s="39"/>
      <c r="Q32" s="39"/>
      <c r="R32" s="40"/>
    </row>
    <row r="33" spans="2:18" ht="16.5" customHeight="1" x14ac:dyDescent="0.25">
      <c r="B33" s="66"/>
      <c r="C33" s="101" t="s">
        <v>26</v>
      </c>
      <c r="D33" s="87"/>
      <c r="E33" s="87"/>
      <c r="F33" s="102"/>
      <c r="G33" s="87" t="s">
        <v>29</v>
      </c>
      <c r="H33" s="87"/>
      <c r="I33" s="87"/>
      <c r="J33" s="102"/>
      <c r="L33" s="66"/>
      <c r="M33" s="46"/>
      <c r="N33" s="47"/>
      <c r="O33" s="48"/>
      <c r="P33" s="39"/>
      <c r="Q33" s="39"/>
      <c r="R33" s="40"/>
    </row>
    <row r="34" spans="2:18" ht="15" customHeight="1" x14ac:dyDescent="0.25">
      <c r="B34" s="66"/>
      <c r="C34" s="7" t="s">
        <v>18</v>
      </c>
      <c r="D34" s="8" t="s">
        <v>19</v>
      </c>
      <c r="E34" s="10" t="str">
        <f>+E25</f>
        <v>ALTEZZA</v>
      </c>
      <c r="F34" s="9" t="s">
        <v>20</v>
      </c>
      <c r="G34" s="7" t="s">
        <v>18</v>
      </c>
      <c r="H34" s="8" t="s">
        <v>19</v>
      </c>
      <c r="I34" s="10" t="str">
        <f>+E25</f>
        <v>ALTEZZA</v>
      </c>
      <c r="J34" s="9" t="s">
        <v>20</v>
      </c>
      <c r="L34" s="66"/>
      <c r="M34" s="46"/>
      <c r="N34" s="47"/>
      <c r="O34" s="48"/>
      <c r="P34" s="39"/>
      <c r="Q34" s="39"/>
      <c r="R34" s="40"/>
    </row>
    <row r="35" spans="2:18" ht="15.75" customHeight="1" thickBot="1" x14ac:dyDescent="0.3">
      <c r="B35" s="66"/>
      <c r="C35" s="17"/>
      <c r="D35" s="18"/>
      <c r="E35" s="19"/>
      <c r="F35" s="20"/>
      <c r="G35" s="17"/>
      <c r="H35" s="18"/>
      <c r="I35" s="19"/>
      <c r="J35" s="20"/>
      <c r="L35" s="66"/>
      <c r="M35" s="46"/>
      <c r="N35" s="47"/>
      <c r="O35" s="48"/>
      <c r="P35" s="39"/>
      <c r="Q35" s="39"/>
      <c r="R35" s="40"/>
    </row>
    <row r="36" spans="2:18" ht="16.5" customHeight="1" x14ac:dyDescent="0.25">
      <c r="B36" s="66"/>
      <c r="C36" s="101" t="s">
        <v>27</v>
      </c>
      <c r="D36" s="87"/>
      <c r="E36" s="87"/>
      <c r="F36" s="102"/>
      <c r="G36" s="87" t="s">
        <v>28</v>
      </c>
      <c r="H36" s="87"/>
      <c r="I36" s="87"/>
      <c r="J36" s="102"/>
      <c r="L36" s="66"/>
      <c r="M36" s="46"/>
      <c r="N36" s="47"/>
      <c r="O36" s="48"/>
      <c r="P36" s="39"/>
      <c r="Q36" s="39"/>
      <c r="R36" s="40"/>
    </row>
    <row r="37" spans="2:18" ht="15" customHeight="1" x14ac:dyDescent="0.25">
      <c r="B37" s="66"/>
      <c r="C37" s="7" t="s">
        <v>18</v>
      </c>
      <c r="D37" s="8" t="s">
        <v>19</v>
      </c>
      <c r="E37" s="10" t="str">
        <f>+E25</f>
        <v>ALTEZZA</v>
      </c>
      <c r="F37" s="9" t="s">
        <v>20</v>
      </c>
      <c r="G37" s="7" t="s">
        <v>18</v>
      </c>
      <c r="H37" s="8" t="s">
        <v>19</v>
      </c>
      <c r="I37" s="10" t="str">
        <f>+E25</f>
        <v>ALTEZZA</v>
      </c>
      <c r="J37" s="9" t="s">
        <v>20</v>
      </c>
      <c r="L37" s="66"/>
      <c r="M37" s="46"/>
      <c r="N37" s="47"/>
      <c r="O37" s="48"/>
      <c r="P37" s="39"/>
      <c r="Q37" s="39"/>
      <c r="R37" s="40"/>
    </row>
    <row r="38" spans="2:18" ht="15.75" customHeight="1" thickBot="1" x14ac:dyDescent="0.3">
      <c r="B38" s="67"/>
      <c r="C38" s="17"/>
      <c r="D38" s="18"/>
      <c r="E38" s="19"/>
      <c r="F38" s="20"/>
      <c r="G38" s="17"/>
      <c r="H38" s="18"/>
      <c r="I38" s="19"/>
      <c r="J38" s="20"/>
      <c r="L38" s="67"/>
      <c r="M38" s="49"/>
      <c r="N38" s="50"/>
      <c r="O38" s="51"/>
      <c r="P38" s="41"/>
      <c r="Q38" s="41"/>
      <c r="R38" s="42"/>
    </row>
  </sheetData>
  <mergeCells count="47">
    <mergeCell ref="C24:F24"/>
    <mergeCell ref="G24:J24"/>
    <mergeCell ref="B2:L2"/>
    <mergeCell ref="B24:B38"/>
    <mergeCell ref="B14:B22"/>
    <mergeCell ref="B4:B11"/>
    <mergeCell ref="L4:L11"/>
    <mergeCell ref="G30:J30"/>
    <mergeCell ref="C27:F27"/>
    <mergeCell ref="G27:J27"/>
    <mergeCell ref="C21:J21"/>
    <mergeCell ref="C22:J22"/>
    <mergeCell ref="C19:F20"/>
    <mergeCell ref="G19:G20"/>
    <mergeCell ref="H19:J20"/>
    <mergeCell ref="C18:F18"/>
    <mergeCell ref="C36:F36"/>
    <mergeCell ref="G36:J36"/>
    <mergeCell ref="C33:F33"/>
    <mergeCell ref="G33:J33"/>
    <mergeCell ref="C30:F30"/>
    <mergeCell ref="C4:H10"/>
    <mergeCell ref="C11:H11"/>
    <mergeCell ref="C15:I17"/>
    <mergeCell ref="J15:J17"/>
    <mergeCell ref="D14:I14"/>
    <mergeCell ref="I4:J5"/>
    <mergeCell ref="I8:J9"/>
    <mergeCell ref="I10:J11"/>
    <mergeCell ref="H18:J18"/>
    <mergeCell ref="M16:O17"/>
    <mergeCell ref="P16:R17"/>
    <mergeCell ref="M18:O19"/>
    <mergeCell ref="P18:R19"/>
    <mergeCell ref="L14:L38"/>
    <mergeCell ref="M2:N2"/>
    <mergeCell ref="O2:R2"/>
    <mergeCell ref="P14:R15"/>
    <mergeCell ref="M14:O15"/>
    <mergeCell ref="P25:R38"/>
    <mergeCell ref="M25:O38"/>
    <mergeCell ref="M20:O21"/>
    <mergeCell ref="P20:R21"/>
    <mergeCell ref="M22:O24"/>
    <mergeCell ref="P22:R24"/>
    <mergeCell ref="M4:R10"/>
    <mergeCell ref="M11:R11"/>
  </mergeCells>
  <printOptions horizontalCentered="1" verticalCentered="1"/>
  <pageMargins left="0.23622047244094491" right="0.23622047244094491" top="0.35433070866141736" bottom="0.35433070866141736" header="0.31496062992125984" footer="0.31496062992125984"/>
  <pageSetup paperSize="9" scale="8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showInputMessage="1" showErrorMessage="1" xr:uid="{D2D2ED81-03DF-46B3-A1D0-730A85D92247}">
          <x14:formula1>
            <xm:f>TABELLA!$R$2:$R$3</xm:f>
          </x14:formula1>
          <xm:sqref>P14:R15</xm:sqref>
        </x14:dataValidation>
        <x14:dataValidation type="list" allowBlank="1" showInputMessage="1" showErrorMessage="1" xr:uid="{E9E0D8B6-424F-4E5F-87DC-9702616872DA}">
          <x14:formula1>
            <xm:f>TABELLA!$E$2:$E$3</xm:f>
          </x14:formula1>
          <xm:sqref>P16:R17</xm:sqref>
        </x14:dataValidation>
        <x14:dataValidation type="list" allowBlank="1" showInputMessage="1" showErrorMessage="1" xr:uid="{DF3032C0-5A02-4329-92A1-B507AD2DAF28}">
          <x14:formula1>
            <xm:f>TABELLA!$I$2:$I$3</xm:f>
          </x14:formula1>
          <xm:sqref>P18:R19</xm:sqref>
        </x14:dataValidation>
        <x14:dataValidation type="list" allowBlank="1" showInputMessage="1" showErrorMessage="1" xr:uid="{AD4235F3-6E5F-439E-8389-D5EE619493F8}">
          <x14:formula1>
            <xm:f>TABELLA!$A$2:$A$11</xm:f>
          </x14:formula1>
          <xm:sqref>C26 C29 C32 C35 C38 G38 G35 G32 G29 G26</xm:sqref>
        </x14:dataValidation>
        <x14:dataValidation type="list" allowBlank="1" showInputMessage="1" showErrorMessage="1" xr:uid="{6F3B6D95-BF95-4D85-BBBC-FEB71A2352B2}">
          <x14:formula1>
            <xm:f>TABELLA!$K$2:$K$3</xm:f>
          </x14:formula1>
          <xm:sqref>P20:R21</xm:sqref>
        </x14:dataValidation>
        <x14:dataValidation type="list" allowBlank="1" showInputMessage="1" showErrorMessage="1" xr:uid="{145BB548-86CE-4E63-B016-74DAAD44A782}">
          <x14:formula1>
            <xm:f>TABELLA!$M$2:$M$3</xm:f>
          </x14:formula1>
          <xm:sqref>P22:R24</xm:sqref>
        </x14:dataValidation>
        <x14:dataValidation type="list" allowBlank="1" showInputMessage="1" showErrorMessage="1" xr:uid="{145E7F48-991A-4AEB-8E8B-31EB7AC6FCB9}">
          <x14:formula1>
            <xm:f>TABELLA!$O$2:$O$3</xm:f>
          </x14:formula1>
          <xm:sqref>I10:J11</xm:sqref>
        </x14:dataValidation>
        <x14:dataValidation type="list" allowBlank="1" showInputMessage="1" showErrorMessage="1" xr:uid="{55B9B8B7-0E4C-4D6B-A556-B6429A35003A}">
          <x14:formula1>
            <xm:f>TABELLA!$Q$2:$Q$6</xm:f>
          </x14:formula1>
          <xm:sqref>F26 F29 J26 J29 J32 J35 J38 F38 F35 F32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BE8C9-F8D3-40CC-967A-CA51756E8B57}">
  <sheetPr codeName="Foglio2"/>
  <dimension ref="A1:R10"/>
  <sheetViews>
    <sheetView workbookViewId="0">
      <selection activeCell="A11" sqref="A11"/>
    </sheetView>
  </sheetViews>
  <sheetFormatPr defaultRowHeight="15" x14ac:dyDescent="0.25"/>
  <cols>
    <col min="1" max="1" width="8.140625" bestFit="1" customWidth="1"/>
    <col min="2" max="2" width="2.7109375" customWidth="1"/>
    <col min="3" max="3" width="9" bestFit="1" customWidth="1"/>
    <col min="4" max="4" width="2.7109375" customWidth="1"/>
    <col min="5" max="5" width="8.5703125" bestFit="1" customWidth="1"/>
    <col min="6" max="6" width="2.7109375" customWidth="1"/>
    <col min="7" max="7" width="15.140625" bestFit="1" customWidth="1"/>
    <col min="8" max="8" width="2.7109375" customWidth="1"/>
    <col min="9" max="9" width="5.5703125" bestFit="1" customWidth="1"/>
    <col min="10" max="10" width="2.7109375" customWidth="1"/>
    <col min="11" max="11" width="15.140625" bestFit="1" customWidth="1"/>
    <col min="12" max="12" width="2.7109375" customWidth="1"/>
    <col min="13" max="13" width="14.85546875" bestFit="1" customWidth="1"/>
    <col min="14" max="14" width="2.7109375" customWidth="1"/>
    <col min="15" max="15" width="8.42578125" bestFit="1" customWidth="1"/>
    <col min="16" max="16" width="2.7109375" customWidth="1"/>
    <col min="17" max="17" width="8.28515625" bestFit="1" customWidth="1"/>
  </cols>
  <sheetData>
    <row r="1" spans="1:18" s="3" customFormat="1" ht="30" x14ac:dyDescent="0.25">
      <c r="A1" s="11" t="s">
        <v>46</v>
      </c>
      <c r="C1" s="4" t="s">
        <v>21</v>
      </c>
      <c r="E1" s="4" t="s">
        <v>34</v>
      </c>
      <c r="G1" s="4" t="s">
        <v>37</v>
      </c>
      <c r="I1" s="11" t="s">
        <v>47</v>
      </c>
      <c r="K1" s="4" t="s">
        <v>39</v>
      </c>
      <c r="M1" s="11" t="s">
        <v>48</v>
      </c>
      <c r="O1" s="11" t="s">
        <v>45</v>
      </c>
      <c r="Q1" s="11" t="s">
        <v>20</v>
      </c>
      <c r="R1" s="11" t="s">
        <v>20</v>
      </c>
    </row>
    <row r="2" spans="1:18" x14ac:dyDescent="0.25">
      <c r="A2" s="1" t="s">
        <v>12</v>
      </c>
      <c r="C2" s="5" t="s">
        <v>22</v>
      </c>
      <c r="E2" s="1" t="s">
        <v>35</v>
      </c>
      <c r="G2" s="1" t="s">
        <v>35</v>
      </c>
      <c r="I2" s="1" t="s">
        <v>35</v>
      </c>
      <c r="K2" s="1" t="s">
        <v>35</v>
      </c>
      <c r="M2" s="1" t="s">
        <v>35</v>
      </c>
      <c r="O2" s="1" t="s">
        <v>35</v>
      </c>
      <c r="Q2" s="1" t="s">
        <v>49</v>
      </c>
      <c r="R2" s="1" t="s">
        <v>22</v>
      </c>
    </row>
    <row r="3" spans="1:18" x14ac:dyDescent="0.25">
      <c r="A3" s="1" t="s">
        <v>10</v>
      </c>
      <c r="C3" s="5" t="s">
        <v>23</v>
      </c>
      <c r="E3" s="1" t="s">
        <v>36</v>
      </c>
      <c r="G3" s="1" t="s">
        <v>36</v>
      </c>
      <c r="I3" s="1" t="s">
        <v>36</v>
      </c>
      <c r="K3" s="1" t="s">
        <v>36</v>
      </c>
      <c r="M3" s="1" t="s">
        <v>36</v>
      </c>
      <c r="O3" s="1" t="s">
        <v>36</v>
      </c>
      <c r="Q3" s="1" t="s">
        <v>50</v>
      </c>
      <c r="R3" s="1" t="s">
        <v>23</v>
      </c>
    </row>
    <row r="4" spans="1:18" x14ac:dyDescent="0.25">
      <c r="A4" s="1" t="s">
        <v>11</v>
      </c>
      <c r="Q4" s="1" t="s">
        <v>43</v>
      </c>
    </row>
    <row r="5" spans="1:18" x14ac:dyDescent="0.25">
      <c r="A5" s="1" t="s">
        <v>13</v>
      </c>
      <c r="Q5" s="1" t="s">
        <v>51</v>
      </c>
    </row>
    <row r="6" spans="1:18" x14ac:dyDescent="0.25">
      <c r="A6" s="21" t="s">
        <v>54</v>
      </c>
      <c r="Q6" s="1" t="s">
        <v>42</v>
      </c>
    </row>
    <row r="7" spans="1:18" x14ac:dyDescent="0.25">
      <c r="A7" s="21" t="s">
        <v>55</v>
      </c>
    </row>
    <row r="8" spans="1:18" x14ac:dyDescent="0.25">
      <c r="A8" s="21" t="s">
        <v>56</v>
      </c>
    </row>
    <row r="9" spans="1:18" x14ac:dyDescent="0.25">
      <c r="A9" s="21" t="s">
        <v>57</v>
      </c>
    </row>
    <row r="10" spans="1:18" x14ac:dyDescent="0.25">
      <c r="A10" s="21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1</vt:i4>
      </vt:variant>
    </vt:vector>
  </HeadingPairs>
  <TitlesOfParts>
    <vt:vector size="3" baseType="lpstr">
      <vt:lpstr>RICHIESTA PRESA</vt:lpstr>
      <vt:lpstr>TABELLA</vt:lpstr>
      <vt:lpstr>'RICHIESTA PRESA'!Area_stampa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Conese - General Vending SpA</dc:creator>
  <cp:lastModifiedBy>Fabio Conese - General Vending SpA</cp:lastModifiedBy>
  <cp:lastPrinted>2024-09-11T12:50:55Z</cp:lastPrinted>
  <dcterms:created xsi:type="dcterms:W3CDTF">2022-06-20T13:06:10Z</dcterms:created>
  <dcterms:modified xsi:type="dcterms:W3CDTF">2024-09-11T12:50:57Z</dcterms:modified>
</cp:coreProperties>
</file>